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voulana\Desktop\Article 2\"/>
    </mc:Choice>
  </mc:AlternateContent>
  <bookViews>
    <workbookView xWindow="0" yWindow="0" windowWidth="8595" windowHeight="4335" tabRatio="934" activeTab="1"/>
  </bookViews>
  <sheets>
    <sheet name="Protocole clinique" sheetId="10" r:id="rId1"/>
    <sheet name="Protocole clinique 2" sheetId="11" r:id="rId2"/>
    <sheet name="Area measures - Seg 1" sheetId="9" r:id="rId3"/>
    <sheet name="Area measures - Seg 2" sheetId="8" r:id="rId4"/>
    <sheet name="Comparison with SVMs" sheetId="5" r:id="rId5"/>
  </sheets>
  <functionGroups builtInGroupCount="18"/>
  <calcPr calcId="162913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5" i="11" l="1"/>
  <c r="P5" i="11" s="1"/>
  <c r="P4" i="11"/>
  <c r="Q4" i="11" s="1"/>
  <c r="K57" i="11"/>
  <c r="K56" i="11"/>
  <c r="K55" i="11"/>
  <c r="K42" i="11"/>
  <c r="K41" i="11"/>
  <c r="K40" i="11"/>
  <c r="K39" i="11"/>
  <c r="K21" i="11"/>
  <c r="K20" i="11"/>
  <c r="K19" i="11"/>
  <c r="K6" i="11"/>
  <c r="K5" i="11"/>
  <c r="K4" i="11"/>
  <c r="K3" i="11"/>
  <c r="P9" i="11" l="1"/>
  <c r="R9" i="11"/>
  <c r="S9" i="11"/>
  <c r="O9" i="11"/>
  <c r="Q9" i="11"/>
  <c r="O5" i="10"/>
  <c r="P5" i="10" s="1"/>
  <c r="P4" i="10"/>
  <c r="O4" i="10" s="1"/>
  <c r="P9" i="10" s="1"/>
  <c r="T9" i="11" l="1"/>
  <c r="O9" i="10"/>
  <c r="S9" i="10" s="1"/>
  <c r="N9" i="10"/>
  <c r="Q9" i="10"/>
  <c r="R9" i="10"/>
  <c r="H33" i="8" l="1"/>
  <c r="F33" i="8"/>
  <c r="T5" i="8" l="1"/>
  <c r="S5" i="8"/>
  <c r="P5" i="8"/>
  <c r="O5" i="8"/>
  <c r="T4" i="8"/>
  <c r="S4" i="8"/>
  <c r="P4" i="8"/>
  <c r="O4" i="8"/>
  <c r="T4" i="9"/>
  <c r="U5" i="9"/>
  <c r="U4" i="9"/>
  <c r="T5" i="9"/>
  <c r="X20" i="9" s="1"/>
  <c r="T20" i="9" l="1"/>
  <c r="V20" i="9"/>
  <c r="U20" i="9"/>
  <c r="W20" i="9"/>
  <c r="R20" i="8"/>
  <c r="Q20" i="8"/>
  <c r="S21" i="8"/>
  <c r="P21" i="8"/>
  <c r="O20" i="8"/>
  <c r="S20" i="8"/>
  <c r="Q21" i="8"/>
  <c r="P20" i="8"/>
  <c r="T20" i="8" s="1"/>
  <c r="R21" i="8"/>
  <c r="O21" i="8"/>
  <c r="B36" i="9"/>
  <c r="B37" i="9"/>
  <c r="B38" i="9"/>
  <c r="B39" i="9"/>
  <c r="D39" i="9" s="1"/>
  <c r="G39" i="9" s="1"/>
  <c r="I39" i="9" s="1"/>
  <c r="B40" i="9"/>
  <c r="D40" i="9" s="1"/>
  <c r="B41" i="9"/>
  <c r="B42" i="9"/>
  <c r="B43" i="9"/>
  <c r="B44" i="9"/>
  <c r="B45" i="9"/>
  <c r="B46" i="9"/>
  <c r="B47" i="9"/>
  <c r="D47" i="9" s="1"/>
  <c r="B48" i="9"/>
  <c r="D48" i="9" s="1"/>
  <c r="B49" i="9"/>
  <c r="B50" i="9"/>
  <c r="B51" i="9"/>
  <c r="B52" i="9"/>
  <c r="B53" i="9"/>
  <c r="B54" i="9"/>
  <c r="B55" i="9"/>
  <c r="D55" i="9" s="1"/>
  <c r="B56" i="9"/>
  <c r="D56" i="9" s="1"/>
  <c r="B57" i="9"/>
  <c r="B58" i="9"/>
  <c r="D58" i="9" s="1"/>
  <c r="B59" i="9"/>
  <c r="B60" i="9"/>
  <c r="D60" i="9" s="1"/>
  <c r="B61" i="9"/>
  <c r="B62" i="9"/>
  <c r="D62" i="9" s="1"/>
  <c r="B63" i="9"/>
  <c r="B64" i="9"/>
  <c r="B65" i="9"/>
  <c r="B66" i="9"/>
  <c r="B67" i="9"/>
  <c r="B68" i="9"/>
  <c r="B69" i="9"/>
  <c r="B70" i="9"/>
  <c r="D70" i="9" s="1"/>
  <c r="B71" i="9"/>
  <c r="D71" i="9" s="1"/>
  <c r="B72" i="9"/>
  <c r="D72" i="9" s="1"/>
  <c r="B73" i="9"/>
  <c r="B74" i="9"/>
  <c r="D74" i="9" s="1"/>
  <c r="B75" i="9"/>
  <c r="B76" i="9"/>
  <c r="D76" i="9" s="1"/>
  <c r="B77" i="9"/>
  <c r="B78" i="9"/>
  <c r="B79" i="9"/>
  <c r="B80" i="9"/>
  <c r="B81" i="9"/>
  <c r="B82" i="9"/>
  <c r="B83" i="9"/>
  <c r="B84" i="9"/>
  <c r="B85" i="9"/>
  <c r="B86" i="9"/>
  <c r="B87" i="9"/>
  <c r="D87" i="9" s="1"/>
  <c r="B88" i="9"/>
  <c r="D88" i="9" s="1"/>
  <c r="B89" i="9"/>
  <c r="D89" i="9" s="1"/>
  <c r="B90" i="9"/>
  <c r="B91" i="9"/>
  <c r="D91" i="9" s="1"/>
  <c r="B92" i="9"/>
  <c r="B93" i="9"/>
  <c r="D93" i="9" s="1"/>
  <c r="B94" i="9"/>
  <c r="B95" i="9"/>
  <c r="B96" i="9"/>
  <c r="B97" i="9"/>
  <c r="B98" i="9"/>
  <c r="B99" i="9"/>
  <c r="B100" i="9"/>
  <c r="B101" i="9"/>
  <c r="B102" i="9"/>
  <c r="B103" i="9"/>
  <c r="D103" i="9" s="1"/>
  <c r="B104" i="9"/>
  <c r="D104" i="9" s="1"/>
  <c r="B105" i="9"/>
  <c r="D105" i="9" s="1"/>
  <c r="B3" i="9"/>
  <c r="D3" i="9" s="1"/>
  <c r="B4" i="9"/>
  <c r="B5" i="9"/>
  <c r="B6" i="9"/>
  <c r="B7" i="9"/>
  <c r="D7" i="9" s="1"/>
  <c r="B8" i="9"/>
  <c r="D8" i="9" s="1"/>
  <c r="B9" i="9"/>
  <c r="B10" i="9"/>
  <c r="B11" i="9"/>
  <c r="B12" i="9"/>
  <c r="B13" i="9"/>
  <c r="B14" i="9"/>
  <c r="D14" i="9" s="1"/>
  <c r="B15" i="9"/>
  <c r="B16" i="9"/>
  <c r="D16" i="9" s="1"/>
  <c r="B17" i="9"/>
  <c r="D17" i="9" s="1"/>
  <c r="B18" i="9"/>
  <c r="D18" i="9" s="1"/>
  <c r="B19" i="9"/>
  <c r="D19" i="9" s="1"/>
  <c r="B20" i="9"/>
  <c r="B21" i="9"/>
  <c r="B22" i="9"/>
  <c r="B23" i="9"/>
  <c r="D23" i="9" s="1"/>
  <c r="B24" i="9"/>
  <c r="D24" i="9" s="1"/>
  <c r="B25" i="9"/>
  <c r="B26" i="9"/>
  <c r="B27" i="9"/>
  <c r="B28" i="9"/>
  <c r="D28" i="9" s="1"/>
  <c r="B29" i="9"/>
  <c r="D29" i="9" s="1"/>
  <c r="B30" i="9"/>
  <c r="B31" i="9"/>
  <c r="B32" i="9"/>
  <c r="B2" i="9"/>
  <c r="F105" i="9"/>
  <c r="K105" i="9" s="1"/>
  <c r="F104" i="9"/>
  <c r="F103" i="9"/>
  <c r="H103" i="9" s="1"/>
  <c r="F102" i="9"/>
  <c r="K102" i="9" s="1"/>
  <c r="H101" i="9"/>
  <c r="F101" i="9"/>
  <c r="K101" i="9" s="1"/>
  <c r="F100" i="9"/>
  <c r="F99" i="9"/>
  <c r="K99" i="9" s="1"/>
  <c r="F98" i="9"/>
  <c r="F97" i="9"/>
  <c r="H97" i="9" s="1"/>
  <c r="F96" i="9"/>
  <c r="F95" i="9"/>
  <c r="K95" i="9" s="1"/>
  <c r="F94" i="9"/>
  <c r="H94" i="9" s="1"/>
  <c r="H93" i="9"/>
  <c r="F93" i="9"/>
  <c r="F92" i="9"/>
  <c r="F91" i="9"/>
  <c r="K91" i="9" s="1"/>
  <c r="F90" i="9"/>
  <c r="F89" i="9"/>
  <c r="K89" i="9" s="1"/>
  <c r="F88" i="9"/>
  <c r="F87" i="9"/>
  <c r="H87" i="9" s="1"/>
  <c r="F86" i="9"/>
  <c r="K86" i="9" s="1"/>
  <c r="H85" i="9"/>
  <c r="F85" i="9"/>
  <c r="K85" i="9" s="1"/>
  <c r="F84" i="9"/>
  <c r="F83" i="9"/>
  <c r="K83" i="9" s="1"/>
  <c r="F82" i="9"/>
  <c r="F81" i="9"/>
  <c r="H81" i="9" s="1"/>
  <c r="F80" i="9"/>
  <c r="F79" i="9"/>
  <c r="K79" i="9" s="1"/>
  <c r="F78" i="9"/>
  <c r="H78" i="9" s="1"/>
  <c r="F77" i="9"/>
  <c r="F76" i="9"/>
  <c r="F75" i="9"/>
  <c r="H75" i="9" s="1"/>
  <c r="F74" i="9"/>
  <c r="K74" i="9" s="1"/>
  <c r="H73" i="9"/>
  <c r="F73" i="9"/>
  <c r="K73" i="9" s="1"/>
  <c r="F72" i="9"/>
  <c r="F71" i="9"/>
  <c r="H71" i="9" s="1"/>
  <c r="F70" i="9"/>
  <c r="F69" i="9"/>
  <c r="F68" i="9"/>
  <c r="F67" i="9"/>
  <c r="H67" i="9" s="1"/>
  <c r="F66" i="9"/>
  <c r="H65" i="9"/>
  <c r="F65" i="9"/>
  <c r="K65" i="9" s="1"/>
  <c r="F64" i="9"/>
  <c r="F63" i="9"/>
  <c r="H63" i="9" s="1"/>
  <c r="F62" i="9"/>
  <c r="F61" i="9"/>
  <c r="K61" i="9" s="1"/>
  <c r="F60" i="9"/>
  <c r="F59" i="9"/>
  <c r="H59" i="9" s="1"/>
  <c r="F58" i="9"/>
  <c r="K58" i="9" s="1"/>
  <c r="H57" i="9"/>
  <c r="F57" i="9"/>
  <c r="K57" i="9" s="1"/>
  <c r="F56" i="9"/>
  <c r="F55" i="9"/>
  <c r="H55" i="9" s="1"/>
  <c r="F54" i="9"/>
  <c r="F53" i="9"/>
  <c r="F52" i="9"/>
  <c r="F51" i="9"/>
  <c r="H51" i="9" s="1"/>
  <c r="F50" i="9"/>
  <c r="H49" i="9"/>
  <c r="F49" i="9"/>
  <c r="K49" i="9" s="1"/>
  <c r="F48" i="9"/>
  <c r="F47" i="9"/>
  <c r="H47" i="9" s="1"/>
  <c r="F46" i="9"/>
  <c r="F45" i="9"/>
  <c r="K45" i="9" s="1"/>
  <c r="F44" i="9"/>
  <c r="F43" i="9"/>
  <c r="H43" i="9" s="1"/>
  <c r="F42" i="9"/>
  <c r="K42" i="9" s="1"/>
  <c r="H41" i="9"/>
  <c r="F41" i="9"/>
  <c r="K41" i="9" s="1"/>
  <c r="F40" i="9"/>
  <c r="F39" i="9"/>
  <c r="H39" i="9" s="1"/>
  <c r="F38" i="9"/>
  <c r="F37" i="9"/>
  <c r="F36" i="9"/>
  <c r="F33" i="9"/>
  <c r="F32" i="9"/>
  <c r="H31" i="9"/>
  <c r="F31" i="9"/>
  <c r="F30" i="9"/>
  <c r="F29" i="9"/>
  <c r="F28" i="9"/>
  <c r="F27" i="9"/>
  <c r="K27" i="9" s="1"/>
  <c r="F26" i="9"/>
  <c r="K26" i="9" s="1"/>
  <c r="F25" i="9"/>
  <c r="H25" i="9" s="1"/>
  <c r="F24" i="9"/>
  <c r="H23" i="9"/>
  <c r="F23" i="9"/>
  <c r="F22" i="9"/>
  <c r="F21" i="9"/>
  <c r="F20" i="9"/>
  <c r="F19" i="9"/>
  <c r="K19" i="9" s="1"/>
  <c r="F18" i="9"/>
  <c r="F17" i="9"/>
  <c r="H17" i="9" s="1"/>
  <c r="F16" i="9"/>
  <c r="H15" i="9"/>
  <c r="F15" i="9"/>
  <c r="F14" i="9"/>
  <c r="F13" i="9"/>
  <c r="F12" i="9"/>
  <c r="F11" i="9"/>
  <c r="K11" i="9" s="1"/>
  <c r="F10" i="9"/>
  <c r="K10" i="9" s="1"/>
  <c r="F9" i="9"/>
  <c r="H9" i="9" s="1"/>
  <c r="F8" i="9"/>
  <c r="H7" i="9"/>
  <c r="F7" i="9"/>
  <c r="F6" i="9"/>
  <c r="F5" i="9"/>
  <c r="F4" i="9"/>
  <c r="F3" i="9"/>
  <c r="K3" i="9" s="1"/>
  <c r="F2" i="9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2" i="8"/>
  <c r="D105" i="8"/>
  <c r="G105" i="8" s="1"/>
  <c r="J105" i="8" s="1"/>
  <c r="D65" i="8"/>
  <c r="G65" i="8" s="1"/>
  <c r="J65" i="8" s="1"/>
  <c r="D66" i="8"/>
  <c r="G66" i="8" s="1"/>
  <c r="J66" i="8" s="1"/>
  <c r="D67" i="8"/>
  <c r="G67" i="8" s="1"/>
  <c r="J67" i="8" s="1"/>
  <c r="D68" i="8"/>
  <c r="G68" i="8" s="1"/>
  <c r="J68" i="8" s="1"/>
  <c r="D69" i="8"/>
  <c r="G69" i="8" s="1"/>
  <c r="J69" i="8" s="1"/>
  <c r="D70" i="8"/>
  <c r="G70" i="8" s="1"/>
  <c r="J70" i="8" s="1"/>
  <c r="D71" i="8"/>
  <c r="G71" i="8" s="1"/>
  <c r="J71" i="8" s="1"/>
  <c r="D72" i="8"/>
  <c r="G72" i="8" s="1"/>
  <c r="J72" i="8" s="1"/>
  <c r="D73" i="8"/>
  <c r="G73" i="8" s="1"/>
  <c r="J73" i="8" s="1"/>
  <c r="D74" i="8"/>
  <c r="G74" i="8" s="1"/>
  <c r="J74" i="8" s="1"/>
  <c r="D75" i="8"/>
  <c r="G75" i="8" s="1"/>
  <c r="J75" i="8" s="1"/>
  <c r="D76" i="8"/>
  <c r="G76" i="8" s="1"/>
  <c r="J76" i="8" s="1"/>
  <c r="D77" i="8"/>
  <c r="G77" i="8" s="1"/>
  <c r="I77" i="8" s="1"/>
  <c r="D78" i="8"/>
  <c r="G78" i="8" s="1"/>
  <c r="I78" i="8" s="1"/>
  <c r="D79" i="8"/>
  <c r="G79" i="8" s="1"/>
  <c r="I79" i="8" s="1"/>
  <c r="D80" i="8"/>
  <c r="G80" i="8" s="1"/>
  <c r="J80" i="8" s="1"/>
  <c r="D81" i="8"/>
  <c r="G81" i="8" s="1"/>
  <c r="J81" i="8" s="1"/>
  <c r="D82" i="8"/>
  <c r="G82" i="8" s="1"/>
  <c r="J82" i="8" s="1"/>
  <c r="D83" i="8"/>
  <c r="G83" i="8" s="1"/>
  <c r="J83" i="8" s="1"/>
  <c r="D84" i="8"/>
  <c r="G84" i="8" s="1"/>
  <c r="J84" i="8" s="1"/>
  <c r="D85" i="8"/>
  <c r="G85" i="8" s="1"/>
  <c r="J85" i="8" s="1"/>
  <c r="D86" i="8"/>
  <c r="G86" i="8" s="1"/>
  <c r="J86" i="8" s="1"/>
  <c r="D87" i="8"/>
  <c r="G87" i="8" s="1"/>
  <c r="J87" i="8" s="1"/>
  <c r="D88" i="8"/>
  <c r="G88" i="8" s="1"/>
  <c r="J88" i="8" s="1"/>
  <c r="D89" i="8"/>
  <c r="G89" i="8" s="1"/>
  <c r="J89" i="8" s="1"/>
  <c r="D90" i="8"/>
  <c r="G90" i="8" s="1"/>
  <c r="J90" i="8" s="1"/>
  <c r="D91" i="8"/>
  <c r="G91" i="8" s="1"/>
  <c r="J91" i="8" s="1"/>
  <c r="D92" i="8"/>
  <c r="G92" i="8" s="1"/>
  <c r="J92" i="8" s="1"/>
  <c r="D93" i="8"/>
  <c r="G93" i="8" s="1"/>
  <c r="J93" i="8" s="1"/>
  <c r="D94" i="8"/>
  <c r="G94" i="8" s="1"/>
  <c r="J94" i="8" s="1"/>
  <c r="D95" i="8"/>
  <c r="G95" i="8" s="1"/>
  <c r="J95" i="8" s="1"/>
  <c r="D96" i="8"/>
  <c r="G96" i="8" s="1"/>
  <c r="J96" i="8" s="1"/>
  <c r="D97" i="8"/>
  <c r="G97" i="8" s="1"/>
  <c r="J97" i="8" s="1"/>
  <c r="D98" i="8"/>
  <c r="G98" i="8" s="1"/>
  <c r="J98" i="8" s="1"/>
  <c r="D99" i="8"/>
  <c r="G99" i="8" s="1"/>
  <c r="J99" i="8" s="1"/>
  <c r="D100" i="8"/>
  <c r="G100" i="8" s="1"/>
  <c r="J100" i="8" s="1"/>
  <c r="D101" i="8"/>
  <c r="G101" i="8" s="1"/>
  <c r="J101" i="8" s="1"/>
  <c r="D102" i="8"/>
  <c r="G102" i="8" s="1"/>
  <c r="J102" i="8" s="1"/>
  <c r="D103" i="8"/>
  <c r="G103" i="8" s="1"/>
  <c r="J103" i="8" s="1"/>
  <c r="D104" i="8"/>
  <c r="G104" i="8" s="1"/>
  <c r="J104" i="8" s="1"/>
  <c r="D36" i="8"/>
  <c r="G36" i="8" s="1"/>
  <c r="D37" i="8"/>
  <c r="G37" i="8" s="1"/>
  <c r="I37" i="8" s="1"/>
  <c r="D38" i="8"/>
  <c r="G38" i="8" s="1"/>
  <c r="I38" i="8" s="1"/>
  <c r="D39" i="8"/>
  <c r="G39" i="8" s="1"/>
  <c r="J39" i="8" s="1"/>
  <c r="D40" i="8"/>
  <c r="G40" i="8" s="1"/>
  <c r="I40" i="8" s="1"/>
  <c r="D41" i="8"/>
  <c r="G41" i="8" s="1"/>
  <c r="I41" i="8" s="1"/>
  <c r="D42" i="8"/>
  <c r="G42" i="8" s="1"/>
  <c r="I42" i="8" s="1"/>
  <c r="D43" i="8"/>
  <c r="G43" i="8" s="1"/>
  <c r="J43" i="8" s="1"/>
  <c r="D44" i="8"/>
  <c r="G44" i="8" s="1"/>
  <c r="I44" i="8" s="1"/>
  <c r="D45" i="8"/>
  <c r="G45" i="8" s="1"/>
  <c r="I45" i="8" s="1"/>
  <c r="D46" i="8"/>
  <c r="G46" i="8" s="1"/>
  <c r="I46" i="8" s="1"/>
  <c r="D47" i="8"/>
  <c r="G47" i="8" s="1"/>
  <c r="J47" i="8" s="1"/>
  <c r="D48" i="8"/>
  <c r="G48" i="8" s="1"/>
  <c r="I48" i="8" s="1"/>
  <c r="D49" i="8"/>
  <c r="G49" i="8" s="1"/>
  <c r="I49" i="8" s="1"/>
  <c r="D50" i="8"/>
  <c r="G50" i="8" s="1"/>
  <c r="I50" i="8" s="1"/>
  <c r="D51" i="8"/>
  <c r="G51" i="8" s="1"/>
  <c r="J51" i="8" s="1"/>
  <c r="D52" i="8"/>
  <c r="G52" i="8" s="1"/>
  <c r="I52" i="8" s="1"/>
  <c r="D53" i="8"/>
  <c r="G53" i="8" s="1"/>
  <c r="I53" i="8" s="1"/>
  <c r="D54" i="8"/>
  <c r="G54" i="8" s="1"/>
  <c r="I54" i="8" s="1"/>
  <c r="D55" i="8"/>
  <c r="G55" i="8" s="1"/>
  <c r="J55" i="8" s="1"/>
  <c r="D56" i="8"/>
  <c r="G56" i="8" s="1"/>
  <c r="I56" i="8" s="1"/>
  <c r="D57" i="8"/>
  <c r="G57" i="8" s="1"/>
  <c r="I57" i="8" s="1"/>
  <c r="D58" i="8"/>
  <c r="G58" i="8" s="1"/>
  <c r="I58" i="8" s="1"/>
  <c r="D59" i="8"/>
  <c r="G59" i="8" s="1"/>
  <c r="J59" i="8" s="1"/>
  <c r="D60" i="8"/>
  <c r="G60" i="8" s="1"/>
  <c r="J60" i="8" s="1"/>
  <c r="D61" i="8"/>
  <c r="G61" i="8" s="1"/>
  <c r="I61" i="8" s="1"/>
  <c r="D62" i="8"/>
  <c r="G62" i="8" s="1"/>
  <c r="J62" i="8" s="1"/>
  <c r="D63" i="8"/>
  <c r="G63" i="8" s="1"/>
  <c r="J63" i="8" s="1"/>
  <c r="D64" i="8"/>
  <c r="G64" i="8" s="1"/>
  <c r="J64" i="8" s="1"/>
  <c r="D3" i="8"/>
  <c r="G3" i="8" s="1"/>
  <c r="J3" i="8" s="1"/>
  <c r="D4" i="8"/>
  <c r="G4" i="8" s="1"/>
  <c r="J4" i="8" s="1"/>
  <c r="D5" i="8"/>
  <c r="G5" i="8" s="1"/>
  <c r="J5" i="8" s="1"/>
  <c r="D6" i="8"/>
  <c r="G6" i="8" s="1"/>
  <c r="I6" i="8" s="1"/>
  <c r="D7" i="8"/>
  <c r="G7" i="8" s="1"/>
  <c r="J7" i="8" s="1"/>
  <c r="D8" i="8"/>
  <c r="G8" i="8" s="1"/>
  <c r="J8" i="8" s="1"/>
  <c r="D9" i="8"/>
  <c r="G9" i="8" s="1"/>
  <c r="J9" i="8" s="1"/>
  <c r="D10" i="8"/>
  <c r="G10" i="8" s="1"/>
  <c r="I10" i="8" s="1"/>
  <c r="D11" i="8"/>
  <c r="G11" i="8" s="1"/>
  <c r="J11" i="8" s="1"/>
  <c r="D12" i="8"/>
  <c r="G12" i="8" s="1"/>
  <c r="J12" i="8" s="1"/>
  <c r="D13" i="8"/>
  <c r="G13" i="8" s="1"/>
  <c r="J13" i="8" s="1"/>
  <c r="D14" i="8"/>
  <c r="G14" i="8" s="1"/>
  <c r="I14" i="8" s="1"/>
  <c r="D15" i="8"/>
  <c r="G15" i="8" s="1"/>
  <c r="J15" i="8" s="1"/>
  <c r="D16" i="8"/>
  <c r="G16" i="8" s="1"/>
  <c r="J16" i="8" s="1"/>
  <c r="D17" i="8"/>
  <c r="G17" i="8" s="1"/>
  <c r="J17" i="8" s="1"/>
  <c r="D18" i="8"/>
  <c r="G18" i="8" s="1"/>
  <c r="I18" i="8" s="1"/>
  <c r="D19" i="8"/>
  <c r="G19" i="8" s="1"/>
  <c r="J19" i="8" s="1"/>
  <c r="D20" i="8"/>
  <c r="G20" i="8" s="1"/>
  <c r="J20" i="8" s="1"/>
  <c r="D21" i="8"/>
  <c r="G21" i="8" s="1"/>
  <c r="J21" i="8" s="1"/>
  <c r="D22" i="8"/>
  <c r="G22" i="8" s="1"/>
  <c r="I22" i="8" s="1"/>
  <c r="D23" i="8"/>
  <c r="G23" i="8" s="1"/>
  <c r="J23" i="8" s="1"/>
  <c r="D24" i="8"/>
  <c r="G24" i="8" s="1"/>
  <c r="J24" i="8" s="1"/>
  <c r="D25" i="8"/>
  <c r="G25" i="8" s="1"/>
  <c r="J25" i="8" s="1"/>
  <c r="D26" i="8"/>
  <c r="G26" i="8" s="1"/>
  <c r="I26" i="8" s="1"/>
  <c r="D27" i="8"/>
  <c r="G27" i="8" s="1"/>
  <c r="J27" i="8" s="1"/>
  <c r="D28" i="8"/>
  <c r="G28" i="8" s="1"/>
  <c r="J28" i="8" s="1"/>
  <c r="D29" i="8"/>
  <c r="G29" i="8" s="1"/>
  <c r="J29" i="8" s="1"/>
  <c r="D30" i="8"/>
  <c r="G30" i="8" s="1"/>
  <c r="I30" i="8" s="1"/>
  <c r="D31" i="8"/>
  <c r="G31" i="8" s="1"/>
  <c r="J31" i="8" s="1"/>
  <c r="D32" i="8"/>
  <c r="G32" i="8" s="1"/>
  <c r="J32" i="8" s="1"/>
  <c r="D2" i="8"/>
  <c r="G2" i="8" s="1"/>
  <c r="H79" i="9" l="1"/>
  <c r="H95" i="9"/>
  <c r="X4" i="8"/>
  <c r="W4" i="8"/>
  <c r="J2" i="8"/>
  <c r="I2" i="8"/>
  <c r="O28" i="9"/>
  <c r="M28" i="9"/>
  <c r="L28" i="9"/>
  <c r="N28" i="9"/>
  <c r="O24" i="9"/>
  <c r="M24" i="9"/>
  <c r="L24" i="9"/>
  <c r="N24" i="9"/>
  <c r="O16" i="9"/>
  <c r="M16" i="9"/>
  <c r="L16" i="9"/>
  <c r="N16" i="9"/>
  <c r="O8" i="9"/>
  <c r="M8" i="9"/>
  <c r="L8" i="9"/>
  <c r="N8" i="9"/>
  <c r="O103" i="9"/>
  <c r="M103" i="9"/>
  <c r="L103" i="9"/>
  <c r="N103" i="9"/>
  <c r="O91" i="9"/>
  <c r="M91" i="9"/>
  <c r="L91" i="9"/>
  <c r="N91" i="9"/>
  <c r="O87" i="9"/>
  <c r="M87" i="9"/>
  <c r="L87" i="9"/>
  <c r="N87" i="9"/>
  <c r="O71" i="9"/>
  <c r="M71" i="9"/>
  <c r="N71" i="9"/>
  <c r="L71" i="9"/>
  <c r="O55" i="9"/>
  <c r="M55" i="9"/>
  <c r="N55" i="9"/>
  <c r="L55" i="9"/>
  <c r="O47" i="9"/>
  <c r="M47" i="9"/>
  <c r="N47" i="9"/>
  <c r="L47" i="9"/>
  <c r="I36" i="8"/>
  <c r="X5" i="8"/>
  <c r="W5" i="8"/>
  <c r="O74" i="9"/>
  <c r="M74" i="9"/>
  <c r="L74" i="9"/>
  <c r="N74" i="9"/>
  <c r="O70" i="9"/>
  <c r="M70" i="9"/>
  <c r="N70" i="9"/>
  <c r="L70" i="9"/>
  <c r="O62" i="9"/>
  <c r="M62" i="9"/>
  <c r="N62" i="9"/>
  <c r="L62" i="9"/>
  <c r="O58" i="9"/>
  <c r="M58" i="9"/>
  <c r="N58" i="9"/>
  <c r="L58" i="9"/>
  <c r="O105" i="9"/>
  <c r="M105" i="9"/>
  <c r="L105" i="9"/>
  <c r="N105" i="9"/>
  <c r="O93" i="9"/>
  <c r="M93" i="9"/>
  <c r="L93" i="9"/>
  <c r="N93" i="9"/>
  <c r="O89" i="9"/>
  <c r="M89" i="9"/>
  <c r="L89" i="9"/>
  <c r="N89" i="9"/>
  <c r="O29" i="9"/>
  <c r="N29" i="9"/>
  <c r="M29" i="9"/>
  <c r="L29" i="9"/>
  <c r="O17" i="9"/>
  <c r="M17" i="9"/>
  <c r="L17" i="9"/>
  <c r="N17" i="9"/>
  <c r="O104" i="9"/>
  <c r="M104" i="9"/>
  <c r="L104" i="9"/>
  <c r="N104" i="9"/>
  <c r="O88" i="9"/>
  <c r="M88" i="9"/>
  <c r="L88" i="9"/>
  <c r="N88" i="9"/>
  <c r="O76" i="9"/>
  <c r="M76" i="9"/>
  <c r="L76" i="9"/>
  <c r="N76" i="9"/>
  <c r="O72" i="9"/>
  <c r="N72" i="9"/>
  <c r="M72" i="9"/>
  <c r="L72" i="9"/>
  <c r="O60" i="9"/>
  <c r="M60" i="9"/>
  <c r="N60" i="9"/>
  <c r="L60" i="9"/>
  <c r="O56" i="9"/>
  <c r="N56" i="9"/>
  <c r="M56" i="9"/>
  <c r="L56" i="9"/>
  <c r="O48" i="9"/>
  <c r="N48" i="9"/>
  <c r="M48" i="9"/>
  <c r="L48" i="9"/>
  <c r="O40" i="9"/>
  <c r="N40" i="9"/>
  <c r="M40" i="9"/>
  <c r="L40" i="9"/>
  <c r="H3" i="9"/>
  <c r="H6" i="9"/>
  <c r="K6" i="9"/>
  <c r="K9" i="9"/>
  <c r="H11" i="9"/>
  <c r="H14" i="9"/>
  <c r="K14" i="9"/>
  <c r="K17" i="9"/>
  <c r="H19" i="9"/>
  <c r="H22" i="9"/>
  <c r="K22" i="9"/>
  <c r="K25" i="9"/>
  <c r="H27" i="9"/>
  <c r="H30" i="9"/>
  <c r="K30" i="9"/>
  <c r="Y4" i="9"/>
  <c r="X4" i="9"/>
  <c r="H38" i="9"/>
  <c r="K38" i="9"/>
  <c r="H46" i="9"/>
  <c r="K46" i="9"/>
  <c r="H54" i="9"/>
  <c r="K54" i="9"/>
  <c r="H62" i="9"/>
  <c r="K62" i="9"/>
  <c r="H70" i="9"/>
  <c r="K70" i="9"/>
  <c r="H84" i="9"/>
  <c r="K84" i="9"/>
  <c r="K87" i="9"/>
  <c r="H89" i="9"/>
  <c r="H92" i="9"/>
  <c r="K92" i="9"/>
  <c r="H100" i="9"/>
  <c r="K100" i="9"/>
  <c r="K103" i="9"/>
  <c r="H105" i="9"/>
  <c r="D30" i="9"/>
  <c r="G30" i="9" s="1"/>
  <c r="D26" i="9"/>
  <c r="G26" i="9" s="1"/>
  <c r="D22" i="9"/>
  <c r="G22" i="9" s="1"/>
  <c r="O18" i="9"/>
  <c r="N18" i="9"/>
  <c r="M18" i="9"/>
  <c r="L18" i="9"/>
  <c r="O14" i="9"/>
  <c r="N14" i="9"/>
  <c r="M14" i="9"/>
  <c r="L14" i="9"/>
  <c r="D10" i="9"/>
  <c r="G10" i="9" s="1"/>
  <c r="D6" i="9"/>
  <c r="G6" i="9" s="1"/>
  <c r="D73" i="9"/>
  <c r="G73" i="9" s="1"/>
  <c r="D69" i="9"/>
  <c r="G69" i="9" s="1"/>
  <c r="D65" i="9"/>
  <c r="G65" i="9" s="1"/>
  <c r="G61" i="9"/>
  <c r="I61" i="9" s="1"/>
  <c r="D61" i="9"/>
  <c r="D57" i="9"/>
  <c r="G57" i="9" s="1"/>
  <c r="G53" i="9"/>
  <c r="I53" i="9" s="1"/>
  <c r="D53" i="9"/>
  <c r="D49" i="9"/>
  <c r="G49" i="9" s="1"/>
  <c r="D45" i="9"/>
  <c r="G45" i="9" s="1"/>
  <c r="D41" i="9"/>
  <c r="G41" i="9" s="1"/>
  <c r="D37" i="9"/>
  <c r="G37" i="9" s="1"/>
  <c r="D97" i="9"/>
  <c r="D92" i="9"/>
  <c r="D81" i="9"/>
  <c r="G81" i="9" s="1"/>
  <c r="D75" i="9"/>
  <c r="D64" i="9"/>
  <c r="D59" i="9"/>
  <c r="D52" i="9"/>
  <c r="D44" i="9"/>
  <c r="D36" i="9"/>
  <c r="D25" i="9"/>
  <c r="G25" i="9" s="1"/>
  <c r="D9" i="9"/>
  <c r="G105" i="9"/>
  <c r="I105" i="9" s="1"/>
  <c r="G89" i="9"/>
  <c r="I89" i="9" s="1"/>
  <c r="G72" i="9"/>
  <c r="I72" i="9" s="1"/>
  <c r="G56" i="9"/>
  <c r="I56" i="9" s="1"/>
  <c r="G48" i="9"/>
  <c r="I48" i="9" s="1"/>
  <c r="G40" i="9"/>
  <c r="I40" i="9" s="1"/>
  <c r="G29" i="9"/>
  <c r="I29" i="9" s="1"/>
  <c r="G19" i="9"/>
  <c r="I19" i="9" s="1"/>
  <c r="K94" i="9"/>
  <c r="K78" i="9"/>
  <c r="P12" i="8"/>
  <c r="O12" i="8"/>
  <c r="H4" i="9"/>
  <c r="K4" i="9"/>
  <c r="H12" i="9"/>
  <c r="K12" i="9"/>
  <c r="H20" i="9"/>
  <c r="K20" i="9"/>
  <c r="H28" i="9"/>
  <c r="K28" i="9"/>
  <c r="H36" i="9"/>
  <c r="K36" i="9"/>
  <c r="K39" i="9"/>
  <c r="J39" i="9"/>
  <c r="H44" i="9"/>
  <c r="K44" i="9"/>
  <c r="K47" i="9"/>
  <c r="H52" i="9"/>
  <c r="K52" i="9"/>
  <c r="K55" i="9"/>
  <c r="H60" i="9"/>
  <c r="K60" i="9"/>
  <c r="K63" i="9"/>
  <c r="H68" i="9"/>
  <c r="K68" i="9"/>
  <c r="K71" i="9"/>
  <c r="H76" i="9"/>
  <c r="K76" i="9"/>
  <c r="H82" i="9"/>
  <c r="K82" i="9"/>
  <c r="H90" i="9"/>
  <c r="K90" i="9"/>
  <c r="K93" i="9"/>
  <c r="H98" i="9"/>
  <c r="K98" i="9"/>
  <c r="D2" i="9"/>
  <c r="G2" i="9" s="1"/>
  <c r="G17" i="9"/>
  <c r="I17" i="9" s="1"/>
  <c r="D101" i="9"/>
  <c r="G101" i="9" s="1"/>
  <c r="D96" i="9"/>
  <c r="G96" i="9" s="1"/>
  <c r="D85" i="9"/>
  <c r="D80" i="9"/>
  <c r="D68" i="9"/>
  <c r="G68" i="9" s="1"/>
  <c r="D63" i="9"/>
  <c r="G63" i="9" s="1"/>
  <c r="D51" i="9"/>
  <c r="D43" i="9"/>
  <c r="D32" i="9"/>
  <c r="G104" i="9"/>
  <c r="I104" i="9" s="1"/>
  <c r="G88" i="9"/>
  <c r="I88" i="9" s="1"/>
  <c r="G71" i="9"/>
  <c r="I71" i="9" s="1"/>
  <c r="G55" i="9"/>
  <c r="I55" i="9" s="1"/>
  <c r="G47" i="9"/>
  <c r="I47" i="9" s="1"/>
  <c r="G28" i="9"/>
  <c r="I28" i="9" s="1"/>
  <c r="G18" i="9"/>
  <c r="I18" i="9" s="1"/>
  <c r="G7" i="9"/>
  <c r="I7" i="9" s="1"/>
  <c r="J105" i="9"/>
  <c r="J19" i="9"/>
  <c r="K23" i="9"/>
  <c r="K7" i="9"/>
  <c r="H2" i="9"/>
  <c r="K2" i="9"/>
  <c r="K5" i="9"/>
  <c r="H10" i="9"/>
  <c r="K13" i="9"/>
  <c r="H18" i="9"/>
  <c r="J18" i="9"/>
  <c r="K21" i="9"/>
  <c r="H26" i="9"/>
  <c r="K29" i="9"/>
  <c r="J29" i="9"/>
  <c r="H42" i="9"/>
  <c r="H50" i="9"/>
  <c r="H58" i="9"/>
  <c r="J61" i="9"/>
  <c r="H66" i="9"/>
  <c r="H74" i="9"/>
  <c r="H80" i="9"/>
  <c r="K80" i="9"/>
  <c r="H88" i="9"/>
  <c r="K88" i="9"/>
  <c r="J88" i="9"/>
  <c r="H96" i="9"/>
  <c r="K96" i="9"/>
  <c r="H104" i="9"/>
  <c r="K104" i="9"/>
  <c r="J104" i="9"/>
  <c r="G24" i="9"/>
  <c r="I24" i="9" s="1"/>
  <c r="G16" i="9"/>
  <c r="I16" i="9" s="1"/>
  <c r="G8" i="9"/>
  <c r="I8" i="9" s="1"/>
  <c r="G103" i="9"/>
  <c r="I103" i="9" s="1"/>
  <c r="G91" i="9"/>
  <c r="I91" i="9" s="1"/>
  <c r="G87" i="9"/>
  <c r="I87" i="9" s="1"/>
  <c r="D100" i="9"/>
  <c r="G100" i="9" s="1"/>
  <c r="D95" i="9"/>
  <c r="G95" i="9" s="1"/>
  <c r="D84" i="9"/>
  <c r="D79" i="9"/>
  <c r="D67" i="9"/>
  <c r="G67" i="9" s="1"/>
  <c r="D21" i="9"/>
  <c r="D13" i="9"/>
  <c r="D5" i="9"/>
  <c r="G93" i="9"/>
  <c r="I93" i="9" s="1"/>
  <c r="G76" i="9"/>
  <c r="I76" i="9" s="1"/>
  <c r="G60" i="9"/>
  <c r="I60" i="9" s="1"/>
  <c r="G14" i="9"/>
  <c r="I14" i="9" s="1"/>
  <c r="G3" i="9"/>
  <c r="I3" i="9" s="1"/>
  <c r="J14" i="9"/>
  <c r="K69" i="9"/>
  <c r="K53" i="9"/>
  <c r="K37" i="9"/>
  <c r="K18" i="9"/>
  <c r="P11" i="8"/>
  <c r="O11" i="8"/>
  <c r="H5" i="9"/>
  <c r="H8" i="9"/>
  <c r="K8" i="9"/>
  <c r="J8" i="9"/>
  <c r="H13" i="9"/>
  <c r="H16" i="9"/>
  <c r="K16" i="9"/>
  <c r="J16" i="9"/>
  <c r="H21" i="9"/>
  <c r="H24" i="9"/>
  <c r="K24" i="9"/>
  <c r="J24" i="9"/>
  <c r="H29" i="9"/>
  <c r="H32" i="9"/>
  <c r="K32" i="9"/>
  <c r="H37" i="9"/>
  <c r="H40" i="9"/>
  <c r="K40" i="9"/>
  <c r="K43" i="9"/>
  <c r="H45" i="9"/>
  <c r="H48" i="9"/>
  <c r="K48" i="9"/>
  <c r="J48" i="9"/>
  <c r="K51" i="9"/>
  <c r="H53" i="9"/>
  <c r="H56" i="9"/>
  <c r="K56" i="9"/>
  <c r="J56" i="9"/>
  <c r="K59" i="9"/>
  <c r="H61" i="9"/>
  <c r="H64" i="9"/>
  <c r="K64" i="9"/>
  <c r="K67" i="9"/>
  <c r="H69" i="9"/>
  <c r="H72" i="9"/>
  <c r="K72" i="9"/>
  <c r="J72" i="9"/>
  <c r="K75" i="9"/>
  <c r="K81" i="9"/>
  <c r="H83" i="9"/>
  <c r="H86" i="9"/>
  <c r="H91" i="9"/>
  <c r="K97" i="9"/>
  <c r="H99" i="9"/>
  <c r="H102" i="9"/>
  <c r="D31" i="9"/>
  <c r="G31" i="9" s="1"/>
  <c r="G27" i="9"/>
  <c r="I27" i="9" s="1"/>
  <c r="D27" i="9"/>
  <c r="O23" i="9"/>
  <c r="L23" i="9"/>
  <c r="N23" i="9"/>
  <c r="M23" i="9"/>
  <c r="O19" i="9"/>
  <c r="L19" i="9"/>
  <c r="N19" i="9"/>
  <c r="M19" i="9"/>
  <c r="D15" i="9"/>
  <c r="G15" i="9" s="1"/>
  <c r="D11" i="9"/>
  <c r="G11" i="9" s="1"/>
  <c r="O7" i="9"/>
  <c r="L7" i="9"/>
  <c r="N7" i="9"/>
  <c r="M7" i="9"/>
  <c r="O3" i="9"/>
  <c r="L3" i="9"/>
  <c r="N3" i="9"/>
  <c r="M3" i="9"/>
  <c r="D102" i="9"/>
  <c r="G102" i="9" s="1"/>
  <c r="G98" i="9"/>
  <c r="I98" i="9" s="1"/>
  <c r="D98" i="9"/>
  <c r="D94" i="9"/>
  <c r="G94" i="9" s="1"/>
  <c r="G90" i="9"/>
  <c r="I90" i="9" s="1"/>
  <c r="D90" i="9"/>
  <c r="D86" i="9"/>
  <c r="G86" i="9" s="1"/>
  <c r="G82" i="9"/>
  <c r="I82" i="9" s="1"/>
  <c r="D82" i="9"/>
  <c r="D78" i="9"/>
  <c r="G78" i="9" s="1"/>
  <c r="G74" i="9"/>
  <c r="I74" i="9" s="1"/>
  <c r="G70" i="9"/>
  <c r="I70" i="9" s="1"/>
  <c r="G62" i="9"/>
  <c r="I62" i="9" s="1"/>
  <c r="G58" i="9"/>
  <c r="I58" i="9" s="1"/>
  <c r="D54" i="9"/>
  <c r="G50" i="9"/>
  <c r="I50" i="9" s="1"/>
  <c r="D50" i="9"/>
  <c r="D46" i="9"/>
  <c r="G42" i="9"/>
  <c r="I42" i="9" s="1"/>
  <c r="D42" i="9"/>
  <c r="D38" i="9"/>
  <c r="D99" i="9"/>
  <c r="G99" i="9" s="1"/>
  <c r="D83" i="9"/>
  <c r="G83" i="9" s="1"/>
  <c r="D66" i="9"/>
  <c r="G66" i="9" s="1"/>
  <c r="I66" i="9" s="1"/>
  <c r="O39" i="9"/>
  <c r="M39" i="9"/>
  <c r="N39" i="9"/>
  <c r="L39" i="9"/>
  <c r="D20" i="9"/>
  <c r="D12" i="9"/>
  <c r="G12" i="9" s="1"/>
  <c r="D4" i="9"/>
  <c r="G23" i="9"/>
  <c r="I23" i="9" s="1"/>
  <c r="K66" i="9"/>
  <c r="K50" i="9"/>
  <c r="K31" i="9"/>
  <c r="K15" i="9"/>
  <c r="X5" i="9"/>
  <c r="X21" i="9" s="1"/>
  <c r="Y5" i="9"/>
  <c r="H77" i="9"/>
  <c r="D77" i="9"/>
  <c r="K77" i="9"/>
  <c r="Y20" i="9"/>
  <c r="T21" i="8"/>
  <c r="I94" i="8"/>
  <c r="I82" i="8"/>
  <c r="I81" i="8"/>
  <c r="J77" i="8"/>
  <c r="I76" i="8"/>
  <c r="I99" i="8"/>
  <c r="I87" i="8"/>
  <c r="I67" i="8"/>
  <c r="J79" i="8"/>
  <c r="I98" i="8"/>
  <c r="I86" i="8"/>
  <c r="I74" i="8"/>
  <c r="I66" i="8"/>
  <c r="I97" i="8"/>
  <c r="I89" i="8"/>
  <c r="I85" i="8"/>
  <c r="I73" i="8"/>
  <c r="I69" i="8"/>
  <c r="I65" i="8"/>
  <c r="I60" i="8"/>
  <c r="I71" i="8"/>
  <c r="I63" i="8"/>
  <c r="I90" i="8"/>
  <c r="I70" i="8"/>
  <c r="I62" i="8"/>
  <c r="I95" i="8"/>
  <c r="I88" i="8"/>
  <c r="I83" i="8"/>
  <c r="I72" i="8"/>
  <c r="I68" i="8"/>
  <c r="I64" i="8"/>
  <c r="J46" i="8"/>
  <c r="I105" i="8"/>
  <c r="I104" i="8"/>
  <c r="I103" i="8"/>
  <c r="I102" i="8"/>
  <c r="I101" i="8"/>
  <c r="I100" i="8"/>
  <c r="I96" i="8"/>
  <c r="I93" i="8"/>
  <c r="I92" i="8"/>
  <c r="I91" i="8"/>
  <c r="I84" i="8"/>
  <c r="I80" i="8"/>
  <c r="J78" i="8"/>
  <c r="I75" i="8"/>
  <c r="J61" i="8"/>
  <c r="I59" i="8"/>
  <c r="I47" i="8"/>
  <c r="I43" i="8"/>
  <c r="J18" i="8"/>
  <c r="I55" i="8"/>
  <c r="I39" i="8"/>
  <c r="J58" i="8"/>
  <c r="J42" i="8"/>
  <c r="I51" i="8"/>
  <c r="J54" i="8"/>
  <c r="J38" i="8"/>
  <c r="J50" i="8"/>
  <c r="J57" i="8"/>
  <c r="J53" i="8"/>
  <c r="J49" i="8"/>
  <c r="J45" i="8"/>
  <c r="J41" i="8"/>
  <c r="J37" i="8"/>
  <c r="J56" i="8"/>
  <c r="J52" i="8"/>
  <c r="J48" i="8"/>
  <c r="J44" i="8"/>
  <c r="J40" i="8"/>
  <c r="J36" i="8"/>
  <c r="I21" i="8"/>
  <c r="I5" i="8"/>
  <c r="J30" i="8"/>
  <c r="J14" i="8"/>
  <c r="I25" i="8"/>
  <c r="I17" i="8"/>
  <c r="J26" i="8"/>
  <c r="J10" i="8"/>
  <c r="I9" i="8"/>
  <c r="I29" i="8"/>
  <c r="I13" i="8"/>
  <c r="J22" i="8"/>
  <c r="J6" i="8"/>
  <c r="I32" i="8"/>
  <c r="I28" i="8"/>
  <c r="I24" i="8"/>
  <c r="I20" i="8"/>
  <c r="I16" i="8"/>
  <c r="I12" i="8"/>
  <c r="I8" i="8"/>
  <c r="I4" i="8"/>
  <c r="I31" i="8"/>
  <c r="I27" i="8"/>
  <c r="I23" i="8"/>
  <c r="I19" i="8"/>
  <c r="I15" i="8"/>
  <c r="I11" i="8"/>
  <c r="I7" i="8"/>
  <c r="I3" i="8"/>
  <c r="I37" i="9" l="1"/>
  <c r="J37" i="9"/>
  <c r="I30" i="9"/>
  <c r="J30" i="9"/>
  <c r="I11" i="9"/>
  <c r="J11" i="9"/>
  <c r="I45" i="9"/>
  <c r="J45" i="9"/>
  <c r="I69" i="9"/>
  <c r="J69" i="9"/>
  <c r="J27" i="9"/>
  <c r="J40" i="9"/>
  <c r="J89" i="9"/>
  <c r="J53" i="9"/>
  <c r="T21" i="9"/>
  <c r="I99" i="9"/>
  <c r="J99" i="9"/>
  <c r="I86" i="9"/>
  <c r="J86" i="9"/>
  <c r="I31" i="9"/>
  <c r="J31" i="9"/>
  <c r="I63" i="9"/>
  <c r="J63" i="9"/>
  <c r="I96" i="9"/>
  <c r="J96" i="9"/>
  <c r="I57" i="9"/>
  <c r="J57" i="9"/>
  <c r="I78" i="9"/>
  <c r="J78" i="9"/>
  <c r="I15" i="9"/>
  <c r="J15" i="9"/>
  <c r="I68" i="9"/>
  <c r="J68" i="9"/>
  <c r="I101" i="9"/>
  <c r="J101" i="9"/>
  <c r="I81" i="9"/>
  <c r="J81" i="9"/>
  <c r="I49" i="9"/>
  <c r="J49" i="9"/>
  <c r="I22" i="9"/>
  <c r="J22" i="9"/>
  <c r="I26" i="9"/>
  <c r="J26" i="9"/>
  <c r="I102" i="9"/>
  <c r="J102" i="9"/>
  <c r="I95" i="9"/>
  <c r="J95" i="9"/>
  <c r="I25" i="9"/>
  <c r="J25" i="9"/>
  <c r="I41" i="9"/>
  <c r="J41" i="9"/>
  <c r="I73" i="9"/>
  <c r="J73" i="9"/>
  <c r="I83" i="9"/>
  <c r="J83" i="9"/>
  <c r="I94" i="9"/>
  <c r="J94" i="9"/>
  <c r="I67" i="9"/>
  <c r="J67" i="9"/>
  <c r="I100" i="9"/>
  <c r="J100" i="9"/>
  <c r="I2" i="9"/>
  <c r="J2" i="9"/>
  <c r="I65" i="9"/>
  <c r="J65" i="9"/>
  <c r="I6" i="9"/>
  <c r="J6" i="9"/>
  <c r="I12" i="9"/>
  <c r="J12" i="9"/>
  <c r="I10" i="9"/>
  <c r="J10" i="9"/>
  <c r="X12" i="8"/>
  <c r="W12" i="8"/>
  <c r="O20" i="9"/>
  <c r="M20" i="9"/>
  <c r="L20" i="9"/>
  <c r="N20" i="9"/>
  <c r="O38" i="9"/>
  <c r="M38" i="9"/>
  <c r="N38" i="9"/>
  <c r="L38" i="9"/>
  <c r="O46" i="9"/>
  <c r="M46" i="9"/>
  <c r="N46" i="9"/>
  <c r="L46" i="9"/>
  <c r="O54" i="9"/>
  <c r="M54" i="9"/>
  <c r="N54" i="9"/>
  <c r="L54" i="9"/>
  <c r="O5" i="9"/>
  <c r="N5" i="9"/>
  <c r="M5" i="9"/>
  <c r="L5" i="9"/>
  <c r="O79" i="9"/>
  <c r="M79" i="9"/>
  <c r="L79" i="9"/>
  <c r="N79" i="9"/>
  <c r="G79" i="9"/>
  <c r="J58" i="9"/>
  <c r="T11" i="9"/>
  <c r="V23" i="9" s="1"/>
  <c r="U11" i="9"/>
  <c r="O43" i="9"/>
  <c r="M43" i="9"/>
  <c r="N43" i="9"/>
  <c r="L43" i="9"/>
  <c r="O80" i="9"/>
  <c r="M80" i="9"/>
  <c r="L80" i="9"/>
  <c r="N80" i="9"/>
  <c r="G5" i="9"/>
  <c r="J93" i="9"/>
  <c r="J82" i="9"/>
  <c r="J55" i="9"/>
  <c r="J28" i="9"/>
  <c r="R23" i="8"/>
  <c r="P23" i="8"/>
  <c r="O36" i="9"/>
  <c r="M36" i="9"/>
  <c r="N36" i="9"/>
  <c r="L36" i="9"/>
  <c r="O64" i="9"/>
  <c r="N64" i="9"/>
  <c r="M64" i="9"/>
  <c r="L64" i="9"/>
  <c r="O97" i="9"/>
  <c r="M97" i="9"/>
  <c r="L97" i="9"/>
  <c r="N97" i="9"/>
  <c r="J103" i="9"/>
  <c r="V21" i="9"/>
  <c r="G36" i="9"/>
  <c r="T12" i="8"/>
  <c r="S12" i="8"/>
  <c r="T11" i="8"/>
  <c r="S11" i="8"/>
  <c r="J62" i="9"/>
  <c r="O66" i="9"/>
  <c r="M66" i="9"/>
  <c r="N66" i="9"/>
  <c r="L66" i="9"/>
  <c r="G38" i="9"/>
  <c r="G46" i="9"/>
  <c r="G54" i="9"/>
  <c r="O82" i="9"/>
  <c r="N82" i="9"/>
  <c r="L82" i="9"/>
  <c r="M82" i="9"/>
  <c r="O90" i="9"/>
  <c r="N90" i="9"/>
  <c r="L90" i="9"/>
  <c r="M90" i="9"/>
  <c r="O98" i="9"/>
  <c r="N98" i="9"/>
  <c r="L98" i="9"/>
  <c r="M98" i="9"/>
  <c r="O11" i="9"/>
  <c r="L11" i="9"/>
  <c r="N11" i="9"/>
  <c r="M11" i="9"/>
  <c r="O27" i="9"/>
  <c r="L27" i="9"/>
  <c r="N27" i="9"/>
  <c r="M27" i="9"/>
  <c r="J90" i="9"/>
  <c r="O13" i="9"/>
  <c r="M13" i="9"/>
  <c r="L13" i="9"/>
  <c r="N13" i="9"/>
  <c r="O84" i="9"/>
  <c r="M84" i="9"/>
  <c r="L84" i="9"/>
  <c r="N84" i="9"/>
  <c r="J66" i="9"/>
  <c r="O51" i="9"/>
  <c r="M51" i="9"/>
  <c r="N51" i="9"/>
  <c r="L51" i="9"/>
  <c r="O85" i="9"/>
  <c r="M85" i="9"/>
  <c r="L85" i="9"/>
  <c r="N85" i="9"/>
  <c r="J98" i="9"/>
  <c r="J60" i="9"/>
  <c r="J47" i="9"/>
  <c r="O44" i="9"/>
  <c r="M44" i="9"/>
  <c r="N44" i="9"/>
  <c r="L44" i="9"/>
  <c r="O75" i="9"/>
  <c r="M75" i="9"/>
  <c r="L75" i="9"/>
  <c r="N75" i="9"/>
  <c r="O37" i="9"/>
  <c r="N37" i="9"/>
  <c r="L37" i="9"/>
  <c r="M37" i="9"/>
  <c r="O45" i="9"/>
  <c r="N45" i="9"/>
  <c r="L45" i="9"/>
  <c r="M45" i="9"/>
  <c r="O53" i="9"/>
  <c r="N53" i="9"/>
  <c r="L53" i="9"/>
  <c r="M53" i="9"/>
  <c r="O61" i="9"/>
  <c r="N61" i="9"/>
  <c r="L61" i="9"/>
  <c r="M61" i="9"/>
  <c r="O69" i="9"/>
  <c r="N69" i="9"/>
  <c r="L69" i="9"/>
  <c r="M69" i="9"/>
  <c r="O30" i="9"/>
  <c r="N30" i="9"/>
  <c r="M30" i="9"/>
  <c r="L30" i="9"/>
  <c r="J87" i="9"/>
  <c r="G44" i="9"/>
  <c r="G80" i="9"/>
  <c r="G43" i="9"/>
  <c r="X11" i="8"/>
  <c r="W11" i="8"/>
  <c r="O4" i="9"/>
  <c r="M4" i="9"/>
  <c r="L4" i="9"/>
  <c r="N4" i="9"/>
  <c r="O83" i="9"/>
  <c r="M83" i="9"/>
  <c r="L83" i="9"/>
  <c r="N83" i="9"/>
  <c r="O42" i="9"/>
  <c r="M42" i="9"/>
  <c r="N42" i="9"/>
  <c r="L42" i="9"/>
  <c r="O50" i="9"/>
  <c r="M50" i="9"/>
  <c r="N50" i="9"/>
  <c r="L50" i="9"/>
  <c r="O23" i="8"/>
  <c r="Q23" i="8"/>
  <c r="S23" i="8"/>
  <c r="O21" i="9"/>
  <c r="N21" i="9"/>
  <c r="M21" i="9"/>
  <c r="L21" i="9"/>
  <c r="O95" i="9"/>
  <c r="M95" i="9"/>
  <c r="L95" i="9"/>
  <c r="N95" i="9"/>
  <c r="J74" i="9"/>
  <c r="J42" i="9"/>
  <c r="O63" i="9"/>
  <c r="M63" i="9"/>
  <c r="N63" i="9"/>
  <c r="L63" i="9"/>
  <c r="O96" i="9"/>
  <c r="M96" i="9"/>
  <c r="L96" i="9"/>
  <c r="N96" i="9"/>
  <c r="G21" i="9"/>
  <c r="J71" i="9"/>
  <c r="O9" i="9"/>
  <c r="M9" i="9"/>
  <c r="N9" i="9"/>
  <c r="L9" i="9"/>
  <c r="O52" i="9"/>
  <c r="M52" i="9"/>
  <c r="N52" i="9"/>
  <c r="L52" i="9"/>
  <c r="O81" i="9"/>
  <c r="N81" i="9"/>
  <c r="M81" i="9"/>
  <c r="L81" i="9"/>
  <c r="O6" i="9"/>
  <c r="N6" i="9"/>
  <c r="M6" i="9"/>
  <c r="L6" i="9"/>
  <c r="O22" i="9"/>
  <c r="N22" i="9"/>
  <c r="M22" i="9"/>
  <c r="L22" i="9"/>
  <c r="J17" i="9"/>
  <c r="G52" i="9"/>
  <c r="G84" i="9"/>
  <c r="G9" i="9"/>
  <c r="G85" i="9"/>
  <c r="G51" i="9"/>
  <c r="G75" i="9"/>
  <c r="Q22" i="8"/>
  <c r="O22" i="8"/>
  <c r="S22" i="8"/>
  <c r="O12" i="9"/>
  <c r="M12" i="9"/>
  <c r="L12" i="9"/>
  <c r="N12" i="9"/>
  <c r="O99" i="9"/>
  <c r="M99" i="9"/>
  <c r="L99" i="9"/>
  <c r="N99" i="9"/>
  <c r="O78" i="9"/>
  <c r="N78" i="9"/>
  <c r="M78" i="9"/>
  <c r="L78" i="9"/>
  <c r="O86" i="9"/>
  <c r="N86" i="9"/>
  <c r="M86" i="9"/>
  <c r="L86" i="9"/>
  <c r="O94" i="9"/>
  <c r="N94" i="9"/>
  <c r="M94" i="9"/>
  <c r="L94" i="9"/>
  <c r="O102" i="9"/>
  <c r="N102" i="9"/>
  <c r="M102" i="9"/>
  <c r="L102" i="9"/>
  <c r="O15" i="9"/>
  <c r="L15" i="9"/>
  <c r="N15" i="9"/>
  <c r="M15" i="9"/>
  <c r="O31" i="9"/>
  <c r="L31" i="9"/>
  <c r="N31" i="9"/>
  <c r="M31" i="9"/>
  <c r="O67" i="9"/>
  <c r="M67" i="9"/>
  <c r="N67" i="9"/>
  <c r="L67" i="9"/>
  <c r="O100" i="9"/>
  <c r="M100" i="9"/>
  <c r="L100" i="9"/>
  <c r="N100" i="9"/>
  <c r="G4" i="9"/>
  <c r="G20" i="9"/>
  <c r="J91" i="9"/>
  <c r="J50" i="9"/>
  <c r="J3" i="9"/>
  <c r="J70" i="9"/>
  <c r="O32" i="9"/>
  <c r="M32" i="9"/>
  <c r="L32" i="9"/>
  <c r="N32" i="9"/>
  <c r="O68" i="9"/>
  <c r="M68" i="9"/>
  <c r="N68" i="9"/>
  <c r="L68" i="9"/>
  <c r="O101" i="9"/>
  <c r="M101" i="9"/>
  <c r="L101" i="9"/>
  <c r="N101" i="9"/>
  <c r="O2" i="9"/>
  <c r="N2" i="9"/>
  <c r="M2" i="9"/>
  <c r="L2" i="9"/>
  <c r="J76" i="9"/>
  <c r="J23" i="9"/>
  <c r="J7" i="9"/>
  <c r="O25" i="9"/>
  <c r="M25" i="9"/>
  <c r="L25" i="9"/>
  <c r="N25" i="9"/>
  <c r="O59" i="9"/>
  <c r="M59" i="9"/>
  <c r="N59" i="9"/>
  <c r="L59" i="9"/>
  <c r="O92" i="9"/>
  <c r="M92" i="9"/>
  <c r="L92" i="9"/>
  <c r="N92" i="9"/>
  <c r="O41" i="9"/>
  <c r="N41" i="9"/>
  <c r="L41" i="9"/>
  <c r="M41" i="9"/>
  <c r="O49" i="9"/>
  <c r="N49" i="9"/>
  <c r="L49" i="9"/>
  <c r="M49" i="9"/>
  <c r="O57" i="9"/>
  <c r="N57" i="9"/>
  <c r="L57" i="9"/>
  <c r="M57" i="9"/>
  <c r="O65" i="9"/>
  <c r="N65" i="9"/>
  <c r="L65" i="9"/>
  <c r="M65" i="9"/>
  <c r="O73" i="9"/>
  <c r="N73" i="9"/>
  <c r="L73" i="9"/>
  <c r="M73" i="9"/>
  <c r="O10" i="9"/>
  <c r="N10" i="9"/>
  <c r="M10" i="9"/>
  <c r="L10" i="9"/>
  <c r="O26" i="9"/>
  <c r="N26" i="9"/>
  <c r="M26" i="9"/>
  <c r="L26" i="9"/>
  <c r="G64" i="9"/>
  <c r="G92" i="9"/>
  <c r="G13" i="9"/>
  <c r="G97" i="9"/>
  <c r="R22" i="8"/>
  <c r="T22" i="8" s="1"/>
  <c r="P22" i="8"/>
  <c r="G59" i="9"/>
  <c r="G32" i="9"/>
  <c r="O77" i="9"/>
  <c r="N77" i="9"/>
  <c r="M77" i="9"/>
  <c r="L77" i="9"/>
  <c r="T12" i="9"/>
  <c r="U12" i="9"/>
  <c r="W21" i="9"/>
  <c r="U21" i="9"/>
  <c r="G77" i="9"/>
  <c r="AB4" i="9" l="1"/>
  <c r="X23" i="9"/>
  <c r="I20" i="9"/>
  <c r="J20" i="9"/>
  <c r="I9" i="9"/>
  <c r="J9" i="9"/>
  <c r="I38" i="9"/>
  <c r="J38" i="9"/>
  <c r="AC4" i="9"/>
  <c r="V22" i="9" s="1"/>
  <c r="I32" i="9"/>
  <c r="J32" i="9"/>
  <c r="T40" i="9"/>
  <c r="U40" i="9"/>
  <c r="I84" i="9"/>
  <c r="J84" i="9"/>
  <c r="I21" i="9"/>
  <c r="J21" i="9"/>
  <c r="R24" i="8"/>
  <c r="P24" i="8"/>
  <c r="P25" i="8"/>
  <c r="R25" i="8"/>
  <c r="I64" i="9"/>
  <c r="J64" i="9"/>
  <c r="I97" i="9"/>
  <c r="J97" i="9"/>
  <c r="I4" i="9"/>
  <c r="J4" i="9"/>
  <c r="I75" i="9"/>
  <c r="J75" i="9"/>
  <c r="I43" i="9"/>
  <c r="J43" i="9"/>
  <c r="I59" i="9"/>
  <c r="J59" i="9"/>
  <c r="I13" i="9"/>
  <c r="J13" i="9"/>
  <c r="X40" i="9"/>
  <c r="Y40" i="9"/>
  <c r="I51" i="9"/>
  <c r="J51" i="9"/>
  <c r="I52" i="9"/>
  <c r="J52" i="9"/>
  <c r="I80" i="9"/>
  <c r="J80" i="9"/>
  <c r="I54" i="9"/>
  <c r="J54" i="9"/>
  <c r="Q24" i="8"/>
  <c r="O24" i="8"/>
  <c r="S24" i="8"/>
  <c r="I36" i="9"/>
  <c r="J36" i="9"/>
  <c r="T23" i="8"/>
  <c r="AB11" i="9"/>
  <c r="AC11" i="9"/>
  <c r="I92" i="9"/>
  <c r="J92" i="9"/>
  <c r="I85" i="9"/>
  <c r="J85" i="9"/>
  <c r="Q25" i="8"/>
  <c r="S25" i="8"/>
  <c r="O25" i="8"/>
  <c r="I44" i="9"/>
  <c r="J44" i="9"/>
  <c r="I46" i="9"/>
  <c r="J46" i="9"/>
  <c r="I5" i="9"/>
  <c r="X11" i="9" s="1"/>
  <c r="J5" i="9"/>
  <c r="I79" i="9"/>
  <c r="J79" i="9"/>
  <c r="Y11" i="9"/>
  <c r="AC5" i="9"/>
  <c r="AB5" i="9"/>
  <c r="X22" i="9" s="1"/>
  <c r="I77" i="9"/>
  <c r="J77" i="9"/>
  <c r="Y21" i="9"/>
  <c r="T41" i="9"/>
  <c r="X26" i="9" s="1"/>
  <c r="U41" i="9"/>
  <c r="U23" i="9"/>
  <c r="T23" i="9"/>
  <c r="W23" i="9"/>
  <c r="Y41" i="9"/>
  <c r="X41" i="9"/>
  <c r="X27" i="9" s="1"/>
  <c r="V24" i="9" l="1"/>
  <c r="T25" i="8"/>
  <c r="V25" i="9"/>
  <c r="V27" i="9"/>
  <c r="V26" i="9"/>
  <c r="T24" i="8"/>
  <c r="Y23" i="9"/>
  <c r="AB12" i="9"/>
  <c r="X25" i="9" s="1"/>
  <c r="AC12" i="9"/>
  <c r="T27" i="9"/>
  <c r="W27" i="9"/>
  <c r="U27" i="9"/>
  <c r="W26" i="9"/>
  <c r="T26" i="9"/>
  <c r="U26" i="9"/>
  <c r="X12" i="9"/>
  <c r="X24" i="9" s="1"/>
  <c r="Y12" i="9"/>
  <c r="T22" i="9"/>
  <c r="W22" i="9"/>
  <c r="U22" i="9"/>
  <c r="Y26" i="9" l="1"/>
  <c r="Y22" i="9"/>
  <c r="Y27" i="9"/>
  <c r="W24" i="9"/>
  <c r="U24" i="9"/>
  <c r="T24" i="9"/>
  <c r="W25" i="9"/>
  <c r="T25" i="9"/>
  <c r="U25" i="9"/>
  <c r="Y24" i="9" l="1"/>
  <c r="Y25" i="9"/>
</calcChain>
</file>

<file path=xl/sharedStrings.xml><?xml version="1.0" encoding="utf-8"?>
<sst xmlns="http://schemas.openxmlformats.org/spreadsheetml/2006/main" count="1059" uniqueCount="408">
  <si>
    <t>Vertical CDR</t>
  </si>
  <si>
    <t>inf_sector</t>
  </si>
  <si>
    <t>Sup_sector</t>
  </si>
  <si>
    <t>Nasal_sector</t>
  </si>
  <si>
    <t>Temporal_sector</t>
  </si>
  <si>
    <t>NRR area</t>
  </si>
  <si>
    <t>drishtiGS_001.png</t>
  </si>
  <si>
    <t>drishtiGS_002.png</t>
  </si>
  <si>
    <t>drishtiGS_003.png</t>
  </si>
  <si>
    <t>drishtiGS_004.png</t>
  </si>
  <si>
    <t>drishtiGS_005.png</t>
  </si>
  <si>
    <t>drishtiGS_006.png</t>
  </si>
  <si>
    <t>drishtiGS_007.png</t>
  </si>
  <si>
    <t>drishtiGS_008.png</t>
  </si>
  <si>
    <t>drishtiGS_009.png</t>
  </si>
  <si>
    <t>drishtiGS_010.png</t>
  </si>
  <si>
    <t>drishtiGS_011.png</t>
  </si>
  <si>
    <t>drishtiGS_012.png</t>
  </si>
  <si>
    <t>drishtiGS_013.png</t>
  </si>
  <si>
    <t>drishtiGS_014.png</t>
  </si>
  <si>
    <t>drishtiGS_015.png</t>
  </si>
  <si>
    <t>drishtiGS_016.png</t>
  </si>
  <si>
    <t>drishtiGS_017.png</t>
  </si>
  <si>
    <t>drishtiGS_018.png</t>
  </si>
  <si>
    <t>drishtiGS_019.png</t>
  </si>
  <si>
    <t>drishtiGS_020.png</t>
  </si>
  <si>
    <t>drishtiGS_021.png</t>
  </si>
  <si>
    <t>drishtiGS_022.png</t>
  </si>
  <si>
    <t>drishtiGS_023.png</t>
  </si>
  <si>
    <t>drishtiGS_024.png</t>
  </si>
  <si>
    <t>drishtiGS_025.png</t>
  </si>
  <si>
    <t>drishtiGS_026.png</t>
  </si>
  <si>
    <t>drishtiGS_027.png</t>
  </si>
  <si>
    <t>drishtiGS_028.png</t>
  </si>
  <si>
    <t>drishtiGS_029.png</t>
  </si>
  <si>
    <t>drishtiGS_030.png</t>
  </si>
  <si>
    <t>drishtiGS_031.png</t>
  </si>
  <si>
    <t>drishtiGS_032.png</t>
  </si>
  <si>
    <t>drishtiGS_033.png</t>
  </si>
  <si>
    <t>drishtiGS_034.png</t>
  </si>
  <si>
    <t>drishtiGS_035.png</t>
  </si>
  <si>
    <t>drishtiGS_036.png</t>
  </si>
  <si>
    <t>drishtiGS_037.png</t>
  </si>
  <si>
    <t>drishtiGS_038.png</t>
  </si>
  <si>
    <t>drishtiGS_039.png</t>
  </si>
  <si>
    <t>drishtiGS_040.png</t>
  </si>
  <si>
    <t>drishtiGS_041.png</t>
  </si>
  <si>
    <t>drishtiGS_042.png</t>
  </si>
  <si>
    <t>drishtiGS_043.png</t>
  </si>
  <si>
    <t>drishtiGS_044.png</t>
  </si>
  <si>
    <t>drishtiGS_045.png</t>
  </si>
  <si>
    <t>drishtiGS_046.png</t>
  </si>
  <si>
    <t>drishtiGS_047.png</t>
  </si>
  <si>
    <t>drishtiGS_048.png</t>
  </si>
  <si>
    <t>drishtiGS_049.png</t>
  </si>
  <si>
    <t>drishtiGS_050.png</t>
  </si>
  <si>
    <t>drishtiGS_051.png</t>
  </si>
  <si>
    <t>drishtiGS_052.png</t>
  </si>
  <si>
    <t>drishtiGS_053.png</t>
  </si>
  <si>
    <t>drishtiGS_054.png</t>
  </si>
  <si>
    <t>drishtiGS_055.png</t>
  </si>
  <si>
    <t>drishtiGS_056.png</t>
  </si>
  <si>
    <t>drishtiGS_057.png</t>
  </si>
  <si>
    <t>drishtiGS_058.png</t>
  </si>
  <si>
    <t>drishtiGS_059.png</t>
  </si>
  <si>
    <t>drishtiGS_060.png</t>
  </si>
  <si>
    <t>drishtiGS_061.png</t>
  </si>
  <si>
    <t>drishtiGS_062.png</t>
  </si>
  <si>
    <t>drishtiGS_063.png</t>
  </si>
  <si>
    <t>drishtiGS_064.png</t>
  </si>
  <si>
    <t>drishtiGS_065.png</t>
  </si>
  <si>
    <t>drishtiGS_066.png</t>
  </si>
  <si>
    <t>drishtiGS_067.png</t>
  </si>
  <si>
    <t>drishtiGS_068.png</t>
  </si>
  <si>
    <t>drishtiGS_069.png</t>
  </si>
  <si>
    <t>drishtiGS_070.png</t>
  </si>
  <si>
    <t>drishtiGS_071.png</t>
  </si>
  <si>
    <t>drishtiGS_072.png</t>
  </si>
  <si>
    <t>drishtiGS_073.png</t>
  </si>
  <si>
    <t>drishtiGS_074.png</t>
  </si>
  <si>
    <t>drishtiGS_075.png</t>
  </si>
  <si>
    <t>drishtiGS_076.png</t>
  </si>
  <si>
    <t>drishtiGS_077.png</t>
  </si>
  <si>
    <t>drishtiGS_078.png</t>
  </si>
  <si>
    <t>drishtiGS_079.png</t>
  </si>
  <si>
    <t>drishtiGS_080.png</t>
  </si>
  <si>
    <t>drishtiGS_081.png</t>
  </si>
  <si>
    <t>drishtiGS_082.png</t>
  </si>
  <si>
    <t>drishtiGS_083.png</t>
  </si>
  <si>
    <t>drishtiGS_084.png</t>
  </si>
  <si>
    <t>drishtiGS_085.png</t>
  </si>
  <si>
    <t>drishtiGS_086.png</t>
  </si>
  <si>
    <t>drishtiGS_087.png</t>
  </si>
  <si>
    <t>drishtiGS_088.png</t>
  </si>
  <si>
    <t>drishtiGS_089.png</t>
  </si>
  <si>
    <t>drishtiGS_090.png</t>
  </si>
  <si>
    <t>drishtiGS_091.png</t>
  </si>
  <si>
    <t>drishtiGS_092.png</t>
  </si>
  <si>
    <t>drishtiGS_093.png</t>
  </si>
  <si>
    <t>drishtiGS_094.png</t>
  </si>
  <si>
    <t>drishtiGS_095.png</t>
  </si>
  <si>
    <t>drishtiGS_096.png</t>
  </si>
  <si>
    <t>drishtiGS_097.png</t>
  </si>
  <si>
    <t>drishtiGS_098.png</t>
  </si>
  <si>
    <t>drishtiGS_099.png</t>
  </si>
  <si>
    <t>drishtiGS_100.png</t>
  </si>
  <si>
    <t>drishtiGS_101.png</t>
  </si>
  <si>
    <t>Metrics</t>
  </si>
  <si>
    <t>Accuracy</t>
  </si>
  <si>
    <t>Recall</t>
  </si>
  <si>
    <t>Precision</t>
  </si>
  <si>
    <t>CDR</t>
  </si>
  <si>
    <t>ISNT sectors</t>
  </si>
  <si>
    <t>CDR + ISNT</t>
  </si>
  <si>
    <t>ISNT + NRR</t>
  </si>
  <si>
    <t>CDR + NRR</t>
  </si>
  <si>
    <t>All features</t>
  </si>
  <si>
    <t>Benchmarking the RBF SVM with the different features</t>
  </si>
  <si>
    <t>Benchmarking the hand-crafted classification with the different features</t>
  </si>
  <si>
    <t>Threshold value</t>
  </si>
  <si>
    <t xml:space="preserve">CDR </t>
  </si>
  <si>
    <t>ISNT rule</t>
  </si>
  <si>
    <t>Hand-crafted diagram</t>
  </si>
  <si>
    <t>0.7741 (24/31)</t>
  </si>
  <si>
    <t>0.8429 (59/70)</t>
  </si>
  <si>
    <t>0.8218 (83/101)</t>
  </si>
  <si>
    <t>Benchmarking the linear SVM with the different features</t>
  </si>
  <si>
    <t>0.6774 (21/31)</t>
  </si>
  <si>
    <t>0.7714 (54/70)</t>
  </si>
  <si>
    <t>*</t>
  </si>
  <si>
    <t>* = Glaucomatous if (N &gt; (I + 5) or N &gt; (S + 5)) and (T &gt; (I + 5) or T &gt; (S + 5))</t>
  </si>
  <si>
    <t>0.6451 (20/31)</t>
  </si>
  <si>
    <t>0.7327 (74/101)</t>
  </si>
  <si>
    <t>Classification method</t>
  </si>
  <si>
    <t>Hand-crafted method</t>
  </si>
  <si>
    <t>Linear SVM</t>
  </si>
  <si>
    <t>RBF SVM</t>
  </si>
  <si>
    <t>images saines</t>
  </si>
  <si>
    <t>images pathologiques</t>
  </si>
  <si>
    <t>0.7571 (53/70)</t>
  </si>
  <si>
    <t>0.7326 (74/101)</t>
  </si>
  <si>
    <t>MISCLASSIFIED</t>
  </si>
  <si>
    <t>Area CDR seg 1</t>
  </si>
  <si>
    <t>Area RDR seg 1</t>
  </si>
  <si>
    <t>RDR/CDR seg 1</t>
  </si>
  <si>
    <t>Area RDR seg 2</t>
  </si>
  <si>
    <t>RDR/CDR seg 2</t>
  </si>
  <si>
    <t>Area CDR seg 2</t>
  </si>
  <si>
    <t>OC area</t>
  </si>
  <si>
    <t>OD area</t>
  </si>
  <si>
    <t>12499</t>
  </si>
  <si>
    <t>27841</t>
  </si>
  <si>
    <t>5503</t>
  </si>
  <si>
    <t>18262</t>
  </si>
  <si>
    <t>5266</t>
  </si>
  <si>
    <t>20042</t>
  </si>
  <si>
    <t>20802</t>
  </si>
  <si>
    <t>31793</t>
  </si>
  <si>
    <t>7967</t>
  </si>
  <si>
    <t>15176</t>
  </si>
  <si>
    <t>10807</t>
  </si>
  <si>
    <t>20215</t>
  </si>
  <si>
    <t>11598</t>
  </si>
  <si>
    <t>17754</t>
  </si>
  <si>
    <t>24696</t>
  </si>
  <si>
    <t>36409</t>
  </si>
  <si>
    <t>9766</t>
  </si>
  <si>
    <t>26851</t>
  </si>
  <si>
    <t>17546</t>
  </si>
  <si>
    <t>23327</t>
  </si>
  <si>
    <t>9709</t>
  </si>
  <si>
    <t>16721</t>
  </si>
  <si>
    <t>12146</t>
  </si>
  <si>
    <t>17214</t>
  </si>
  <si>
    <t>15228</t>
  </si>
  <si>
    <t>22106</t>
  </si>
  <si>
    <t>12889</t>
  </si>
  <si>
    <t>19547</t>
  </si>
  <si>
    <t>9621</t>
  </si>
  <si>
    <t>16595</t>
  </si>
  <si>
    <t>19919</t>
  </si>
  <si>
    <t>29474</t>
  </si>
  <si>
    <t>15053</t>
  </si>
  <si>
    <t>23683</t>
  </si>
  <si>
    <t>13226</t>
  </si>
  <si>
    <t>20659</t>
  </si>
  <si>
    <t>6487</t>
  </si>
  <si>
    <t>15306</t>
  </si>
  <si>
    <t>8303</t>
  </si>
  <si>
    <t>14969</t>
  </si>
  <si>
    <t>13306</t>
  </si>
  <si>
    <t>23057</t>
  </si>
  <si>
    <t>9669</t>
  </si>
  <si>
    <t>18264</t>
  </si>
  <si>
    <t>12638</t>
  </si>
  <si>
    <t>16984</t>
  </si>
  <si>
    <t>8120</t>
  </si>
  <si>
    <t>17919</t>
  </si>
  <si>
    <t>13030</t>
  </si>
  <si>
    <t>18340</t>
  </si>
  <si>
    <t>12596</t>
  </si>
  <si>
    <t>20774</t>
  </si>
  <si>
    <t>12215</t>
  </si>
  <si>
    <t>20882</t>
  </si>
  <si>
    <t>6412</t>
  </si>
  <si>
    <t>17261</t>
  </si>
  <si>
    <t>16312</t>
  </si>
  <si>
    <t>31156</t>
  </si>
  <si>
    <t>17013</t>
  </si>
  <si>
    <t>28138</t>
  </si>
  <si>
    <t>10578</t>
  </si>
  <si>
    <t>22517</t>
  </si>
  <si>
    <t>7360</t>
  </si>
  <si>
    <t>17421</t>
  </si>
  <si>
    <t>13249</t>
  </si>
  <si>
    <t>22409</t>
  </si>
  <si>
    <t>13599</t>
  </si>
  <si>
    <t>21403</t>
  </si>
  <si>
    <t>10378</t>
  </si>
  <si>
    <t>18611</t>
  </si>
  <si>
    <t>10758</t>
  </si>
  <si>
    <t>19266</t>
  </si>
  <si>
    <t>5467</t>
  </si>
  <si>
    <t>16694</t>
  </si>
  <si>
    <t>12291</t>
  </si>
  <si>
    <t>27562</t>
  </si>
  <si>
    <t>12442</t>
  </si>
  <si>
    <t>22899</t>
  </si>
  <si>
    <t>9366</t>
  </si>
  <si>
    <t>16863</t>
  </si>
  <si>
    <t>8643</t>
  </si>
  <si>
    <t>16363</t>
  </si>
  <si>
    <t>11783</t>
  </si>
  <si>
    <t>24613</t>
  </si>
  <si>
    <t>13652</t>
  </si>
  <si>
    <t>23217</t>
  </si>
  <si>
    <t>7666</t>
  </si>
  <si>
    <t>14223</t>
  </si>
  <si>
    <t>8735</t>
  </si>
  <si>
    <t>13621</t>
  </si>
  <si>
    <t>4265</t>
  </si>
  <si>
    <t>18351</t>
  </si>
  <si>
    <t>10333</t>
  </si>
  <si>
    <t>17396</t>
  </si>
  <si>
    <t>10381</t>
  </si>
  <si>
    <t>19233</t>
  </si>
  <si>
    <t>13719</t>
  </si>
  <si>
    <t>21458</t>
  </si>
  <si>
    <t>8876</t>
  </si>
  <si>
    <t>18705</t>
  </si>
  <si>
    <t>11612</t>
  </si>
  <si>
    <t>23484</t>
  </si>
  <si>
    <t>17526</t>
  </si>
  <si>
    <t>29003</t>
  </si>
  <si>
    <t>13442</t>
  </si>
  <si>
    <t>23314</t>
  </si>
  <si>
    <t>12496</t>
  </si>
  <si>
    <t>21200</t>
  </si>
  <si>
    <t>9754</t>
  </si>
  <si>
    <t>19023</t>
  </si>
  <si>
    <t>8251</t>
  </si>
  <si>
    <t>21043</t>
  </si>
  <si>
    <t>18544</t>
  </si>
  <si>
    <t>30348</t>
  </si>
  <si>
    <t>19417</t>
  </si>
  <si>
    <t>30113</t>
  </si>
  <si>
    <t>13155</t>
  </si>
  <si>
    <t>20045</t>
  </si>
  <si>
    <t>10489</t>
  </si>
  <si>
    <t>20287</t>
  </si>
  <si>
    <t>12026</t>
  </si>
  <si>
    <t>20079</t>
  </si>
  <si>
    <t>14521</t>
  </si>
  <si>
    <t>19982</t>
  </si>
  <si>
    <t>8325</t>
  </si>
  <si>
    <t>20416</t>
  </si>
  <si>
    <t>13069</t>
  </si>
  <si>
    <t>22704</t>
  </si>
  <si>
    <t>12580</t>
  </si>
  <si>
    <t>22936</t>
  </si>
  <si>
    <t>12754</t>
  </si>
  <si>
    <t>20607</t>
  </si>
  <si>
    <t>11667</t>
  </si>
  <si>
    <t>24830</t>
  </si>
  <si>
    <t>11091</t>
  </si>
  <si>
    <t>18019</t>
  </si>
  <si>
    <t>9573</t>
  </si>
  <si>
    <t>19079</t>
  </si>
  <si>
    <t>10030</t>
  </si>
  <si>
    <t>22134</t>
  </si>
  <si>
    <t>13076</t>
  </si>
  <si>
    <t>15575</t>
  </si>
  <si>
    <t>23055</t>
  </si>
  <si>
    <t>10641</t>
  </si>
  <si>
    <t>18872</t>
  </si>
  <si>
    <t>5386</t>
  </si>
  <si>
    <t>17346</t>
  </si>
  <si>
    <t>19198</t>
  </si>
  <si>
    <t>3611</t>
  </si>
  <si>
    <t>20070</t>
  </si>
  <si>
    <t>4002</t>
  </si>
  <si>
    <t>16533</t>
  </si>
  <si>
    <t>5235</t>
  </si>
  <si>
    <t>20046</t>
  </si>
  <si>
    <t>4658</t>
  </si>
  <si>
    <t>20615</t>
  </si>
  <si>
    <t>2719</t>
  </si>
  <si>
    <t>16244</t>
  </si>
  <si>
    <t>3512</t>
  </si>
  <si>
    <t>16784</t>
  </si>
  <si>
    <t>2864</t>
  </si>
  <si>
    <t>16875</t>
  </si>
  <si>
    <t>6974</t>
  </si>
  <si>
    <t>24925</t>
  </si>
  <si>
    <t>8748</t>
  </si>
  <si>
    <t>25312</t>
  </si>
  <si>
    <t>7888</t>
  </si>
  <si>
    <t>24455</t>
  </si>
  <si>
    <t>1802</t>
  </si>
  <si>
    <t>15987</t>
  </si>
  <si>
    <t>2106</t>
  </si>
  <si>
    <t>15084</t>
  </si>
  <si>
    <t>3661</t>
  </si>
  <si>
    <t>6735</t>
  </si>
  <si>
    <t>17685</t>
  </si>
  <si>
    <t>5375</t>
  </si>
  <si>
    <t>18011</t>
  </si>
  <si>
    <t>5560</t>
  </si>
  <si>
    <t>17342</t>
  </si>
  <si>
    <t>12009</t>
  </si>
  <si>
    <t>20578</t>
  </si>
  <si>
    <t>12614</t>
  </si>
  <si>
    <t>24911</t>
  </si>
  <si>
    <t>8943</t>
  </si>
  <si>
    <t>18229</t>
  </si>
  <si>
    <t>7749</t>
  </si>
  <si>
    <t>23603</t>
  </si>
  <si>
    <t>6341</t>
  </si>
  <si>
    <t>22831</t>
  </si>
  <si>
    <t>5570</t>
  </si>
  <si>
    <t>17910</t>
  </si>
  <si>
    <t>3735</t>
  </si>
  <si>
    <t>17060</t>
  </si>
  <si>
    <t>5917</t>
  </si>
  <si>
    <t>15695</t>
  </si>
  <si>
    <t>5446</t>
  </si>
  <si>
    <t>19707</t>
  </si>
  <si>
    <t>7152</t>
  </si>
  <si>
    <t>19704</t>
  </si>
  <si>
    <t>11442</t>
  </si>
  <si>
    <t>22399</t>
  </si>
  <si>
    <t>Area CRR seg 2</t>
  </si>
  <si>
    <t>CRR/CDR seg 2</t>
  </si>
  <si>
    <t>RDR/CRR</t>
  </si>
  <si>
    <t>Area CRR seg 1</t>
  </si>
  <si>
    <t>CDR + RDR</t>
  </si>
  <si>
    <t>Matrice de confusion - Area CDR</t>
  </si>
  <si>
    <t>Sensitivity</t>
  </si>
  <si>
    <t>Specificity</t>
  </si>
  <si>
    <t>PPV</t>
  </si>
  <si>
    <t>NPV</t>
  </si>
  <si>
    <t>F-score</t>
  </si>
  <si>
    <t>Matrice de confusion - Area RDR</t>
  </si>
  <si>
    <t>Matrice de confusion - Area CRR</t>
  </si>
  <si>
    <t>Matrice de confusion - RDR/CDR</t>
  </si>
  <si>
    <t>Matrice de confusion - CRR/CDR</t>
  </si>
  <si>
    <t>Matrice de confusion - RDR/CRR</t>
  </si>
  <si>
    <t>Area CDR</t>
  </si>
  <si>
    <t>Area RDR</t>
  </si>
  <si>
    <t>Area CRR</t>
  </si>
  <si>
    <t>RDR/CDR</t>
  </si>
  <si>
    <t>CRR/CDR</t>
  </si>
  <si>
    <t>NRR*OC/OD*OD</t>
  </si>
  <si>
    <t>OD*OD/NRR*OC</t>
  </si>
  <si>
    <t>2*NRR/OC+OD</t>
  </si>
  <si>
    <t>NRR/(OC+OD)</t>
  </si>
  <si>
    <t>Matrice de confusion - OD*OD/NRR*OC</t>
  </si>
  <si>
    <t>Matrice de confusion - 2*NRR/(OC+OD)</t>
  </si>
  <si>
    <t>2*NRR/(OC+OD)</t>
  </si>
  <si>
    <t>Healthy</t>
  </si>
  <si>
    <t>Glaucomatous</t>
  </si>
  <si>
    <t>Advanced</t>
  </si>
  <si>
    <t>Moderate</t>
  </si>
  <si>
    <t>Early</t>
  </si>
  <si>
    <t>Intervalle 1</t>
  </si>
  <si>
    <t>Intervalle 2</t>
  </si>
  <si>
    <t>Intervalle 3</t>
  </si>
  <si>
    <t>Intervalle 4</t>
  </si>
  <si>
    <t>Intervalle 5</t>
  </si>
  <si>
    <t>Intervalles définis sur le CDR area</t>
  </si>
  <si>
    <t>Intervalles définis sur le CDR vertical</t>
  </si>
  <si>
    <t>H</t>
  </si>
  <si>
    <t>G</t>
  </si>
  <si>
    <t>misclassified</t>
  </si>
  <si>
    <t>Protocole clinique suivi</t>
  </si>
  <si>
    <t>↓</t>
  </si>
  <si>
    <t>↙</t>
  </si>
  <si>
    <t>CDR area</t>
  </si>
  <si>
    <t>CDR vertical</t>
  </si>
  <si>
    <t>↘</t>
  </si>
  <si>
    <t>Obeyed?</t>
  </si>
  <si>
    <t>Not Obeyed?</t>
  </si>
  <si>
    <t>Intervalle 1 +</t>
  </si>
  <si>
    <t xml:space="preserve"> intervalle 2</t>
  </si>
  <si>
    <t xml:space="preserve"> intervalle 4</t>
  </si>
  <si>
    <t>Intervalle 3 +</t>
  </si>
  <si>
    <t>Intervalle 2 +</t>
  </si>
  <si>
    <t>Matrice de confusion - Protocole clinique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</si>
</sst>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EB9C"/>
      </patternFill>
    </fill>
    <fill>
      <patternFill patternType="solid">
        <fgColor rgb="FF00B0F0"/>
        <bgColor indexed="64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C99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0" fontId="1" fillId="2" borderId="1" applyNumberFormat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2" applyNumberFormat="0" applyAlignment="0" applyProtection="0"/>
    <xf numFmtId="0" fontId="8" fillId="6" borderId="0" applyNumberFormat="0" applyBorder="0" applyAlignment="0" applyProtection="0"/>
    <xf numFmtId="0" fontId="9" fillId="8" borderId="4" applyNumberFormat="0" applyFont="0" applyAlignment="0" applyProtection="0"/>
    <xf numFmtId="0" fontId="12" fillId="12" borderId="8" applyNumberFormat="0" applyAlignment="0" applyProtection="0"/>
  </cellStyleXfs>
  <cellXfs count="54">
    <xf numFmtId="0" fontId="0" fillId="0" borderId="0" xfId="0"/>
    <xf numFmtId="0" fontId="1" fillId="2" borderId="1" xfId="1"/>
    <xf numFmtId="0" fontId="2" fillId="0" borderId="0" xfId="0" applyFont="1"/>
    <xf numFmtId="0" fontId="0" fillId="0" borderId="0" xfId="0" applyFont="1"/>
    <xf numFmtId="0" fontId="0" fillId="0" borderId="0" xfId="0" applyAlignment="1"/>
    <xf numFmtId="0" fontId="2" fillId="0" borderId="0" xfId="0" applyFont="1" applyAlignment="1"/>
    <xf numFmtId="0" fontId="7" fillId="5" borderId="2" xfId="4" applyFont="1"/>
    <xf numFmtId="0" fontId="5" fillId="5" borderId="2" xfId="4" applyFont="1"/>
    <xf numFmtId="0" fontId="1" fillId="2" borderId="1" xfId="1" applyAlignment="1">
      <alignment horizontal="left"/>
    </xf>
    <xf numFmtId="0" fontId="1" fillId="2" borderId="3" xfId="1" applyBorder="1" applyAlignment="1">
      <alignment horizontal="left"/>
    </xf>
    <xf numFmtId="0" fontId="6" fillId="2" borderId="1" xfId="1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5" fillId="5" borderId="2" xfId="4" applyAlignment="1">
      <alignment horizontal="left"/>
    </xf>
    <xf numFmtId="0" fontId="0" fillId="7" borderId="0" xfId="0" applyFill="1" applyAlignment="1">
      <alignment horizontal="left"/>
    </xf>
    <xf numFmtId="0" fontId="8" fillId="6" borderId="3" xfId="5" applyBorder="1" applyAlignment="1">
      <alignment horizontal="left"/>
    </xf>
    <xf numFmtId="0" fontId="0" fillId="8" borderId="4" xfId="6" applyFont="1" applyAlignment="1">
      <alignment horizontal="left"/>
    </xf>
    <xf numFmtId="0" fontId="10" fillId="8" borderId="4" xfId="6" applyFont="1" applyAlignment="1">
      <alignment horizontal="left"/>
    </xf>
    <xf numFmtId="0" fontId="1" fillId="2" borderId="1" xfId="1" applyAlignment="1"/>
    <xf numFmtId="0" fontId="6" fillId="2" borderId="1" xfId="1" applyFont="1" applyAlignment="1"/>
    <xf numFmtId="0" fontId="0" fillId="0" borderId="0" xfId="0" applyNumberFormat="1" applyAlignment="1"/>
    <xf numFmtId="0" fontId="3" fillId="3" borderId="0" xfId="2" applyNumberFormat="1" applyAlignment="1"/>
    <xf numFmtId="0" fontId="4" fillId="4" borderId="0" xfId="3" applyNumberFormat="1" applyAlignment="1"/>
    <xf numFmtId="0" fontId="1" fillId="2" borderId="3" xfId="1" applyBorder="1" applyAlignment="1"/>
    <xf numFmtId="0" fontId="0" fillId="0" borderId="0" xfId="0" applyFill="1" applyBorder="1" applyAlignment="1"/>
    <xf numFmtId="0" fontId="11" fillId="0" borderId="0" xfId="0" applyNumberFormat="1" applyFont="1" applyFill="1" applyAlignment="1"/>
    <xf numFmtId="0" fontId="11" fillId="0" borderId="0" xfId="2" applyNumberFormat="1" applyFont="1" applyFill="1" applyAlignment="1"/>
    <xf numFmtId="0" fontId="0" fillId="0" borderId="0" xfId="0" applyNumberFormat="1" applyFill="1" applyAlignment="1"/>
    <xf numFmtId="0" fontId="4" fillId="0" borderId="0" xfId="3" applyNumberFormat="1" applyFill="1" applyAlignment="1"/>
    <xf numFmtId="0" fontId="3" fillId="0" borderId="0" xfId="2" applyNumberFormat="1" applyFill="1" applyAlignment="1"/>
    <xf numFmtId="0" fontId="0" fillId="0" borderId="0" xfId="0" applyAlignment="1">
      <alignment horizontal="center"/>
    </xf>
    <xf numFmtId="0" fontId="1" fillId="2" borderId="1" xfId="1" applyAlignment="1">
      <alignment horizontal="right"/>
    </xf>
    <xf numFmtId="0" fontId="0" fillId="0" borderId="0" xfId="0" applyAlignment="1">
      <alignment horizontal="right"/>
    </xf>
    <xf numFmtId="0" fontId="6" fillId="2" borderId="1" xfId="1" applyFont="1" applyAlignment="1">
      <alignment horizontal="right"/>
    </xf>
    <xf numFmtId="0" fontId="0" fillId="0" borderId="0" xfId="0" applyNumberFormat="1" applyAlignment="1">
      <alignment horizontal="right"/>
    </xf>
    <xf numFmtId="0" fontId="3" fillId="3" borderId="0" xfId="2" applyNumberFormat="1" applyAlignment="1">
      <alignment horizontal="right"/>
    </xf>
    <xf numFmtId="0" fontId="4" fillId="4" borderId="0" xfId="3" applyNumberFormat="1" applyAlignment="1">
      <alignment horizontal="right"/>
    </xf>
    <xf numFmtId="0" fontId="0" fillId="0" borderId="0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11" borderId="0" xfId="0" applyFill="1" applyAlignment="1">
      <alignment horizontal="right"/>
    </xf>
    <xf numFmtId="0" fontId="0" fillId="9" borderId="0" xfId="0" applyFont="1" applyFill="1" applyAlignment="1">
      <alignment horizontal="right"/>
    </xf>
    <xf numFmtId="0" fontId="3" fillId="3" borderId="0" xfId="2" applyNumberFormat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9" borderId="0" xfId="0" applyFont="1" applyFill="1" applyAlignment="1">
      <alignment horizontal="center"/>
    </xf>
    <xf numFmtId="0" fontId="4" fillId="4" borderId="0" xfId="3" applyNumberFormat="1" applyAlignment="1">
      <alignment horizontal="center"/>
    </xf>
    <xf numFmtId="0" fontId="13" fillId="0" borderId="0" xfId="0" applyFont="1" applyAlignment="1">
      <alignment horizontal="right"/>
    </xf>
    <xf numFmtId="0" fontId="13" fillId="0" borderId="0" xfId="0" applyFont="1" applyAlignment="1">
      <alignment horizontal="left"/>
    </xf>
    <xf numFmtId="0" fontId="12" fillId="12" borderId="8" xfId="7" applyAlignment="1">
      <alignment horizontal="center"/>
    </xf>
    <xf numFmtId="0" fontId="0" fillId="9" borderId="0" xfId="0" applyFill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7" xfId="1" applyBorder="1" applyAlignment="1">
      <alignment horizontal="center"/>
    </xf>
  </cellXfs>
  <cellStyles count="8">
    <cellStyle name="Entrée" xfId="7" builtinId="20"/>
    <cellStyle name="Insatisfaisant" xfId="3" builtinId="27"/>
    <cellStyle name="Neutre" xfId="5" builtinId="28"/>
    <cellStyle name="Normal" xfId="0" builtinId="0"/>
    <cellStyle name="Note" xfId="6" builtinId="10"/>
    <cellStyle name="Satisfaisant" xfId="2" builtinId="26"/>
    <cellStyle name="Sortie" xfId="4" builtinId="21"/>
    <cellStyle name="Vérification" xfId="1" builtinId="23"/>
  </cellStyles>
  <dxfs count="7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8"/>
  <sheetViews>
    <sheetView zoomScale="80" zoomScaleNormal="80" workbookViewId="0">
      <selection activeCell="N67" sqref="N67"/>
    </sheetView>
  </sheetViews>
  <sheetFormatPr baseColWidth="10" defaultRowHeight="15" x14ac:dyDescent="0.25"/>
  <cols>
    <col min="1" max="1" width="19.42578125" customWidth="1"/>
    <col min="2" max="2" width="23.7109375" customWidth="1"/>
    <col min="3" max="3" width="22.85546875" customWidth="1"/>
    <col min="4" max="4" width="18" customWidth="1"/>
    <col min="5" max="5" width="19.7109375" customWidth="1"/>
    <col min="6" max="6" width="17.140625" customWidth="1"/>
    <col min="7" max="7" width="16.42578125" customWidth="1"/>
    <col min="8" max="8" width="22.7109375" customWidth="1"/>
    <col min="9" max="9" width="20.85546875" customWidth="1"/>
    <col min="10" max="10" width="19.140625" customWidth="1"/>
    <col min="11" max="11" width="17.42578125" customWidth="1"/>
    <col min="12" max="12" width="18.7109375" customWidth="1"/>
    <col min="13" max="13" width="19.85546875" customWidth="1"/>
    <col min="14" max="14" width="19" customWidth="1"/>
    <col min="15" max="15" width="17.42578125" customWidth="1"/>
    <col min="16" max="16" width="16.42578125" customWidth="1"/>
  </cols>
  <sheetData>
    <row r="1" spans="1:19" ht="16.5" thickTop="1" thickBot="1" x14ac:dyDescent="0.3">
      <c r="A1" s="18" t="s">
        <v>137</v>
      </c>
      <c r="B1" s="18" t="s">
        <v>142</v>
      </c>
      <c r="C1" s="18" t="s">
        <v>0</v>
      </c>
      <c r="D1" s="18" t="s">
        <v>1</v>
      </c>
      <c r="E1" s="18" t="s">
        <v>2</v>
      </c>
      <c r="F1" s="18" t="s">
        <v>3</v>
      </c>
      <c r="G1" s="18" t="s">
        <v>4</v>
      </c>
      <c r="H1" s="23" t="s">
        <v>381</v>
      </c>
      <c r="I1" s="23" t="s">
        <v>382</v>
      </c>
      <c r="J1" s="23" t="s">
        <v>383</v>
      </c>
      <c r="N1" s="8" t="s">
        <v>356</v>
      </c>
      <c r="O1" s="8"/>
      <c r="P1" s="8"/>
    </row>
    <row r="2" spans="1:19" ht="16.5" thickTop="1" thickBot="1" x14ac:dyDescent="0.3">
      <c r="A2" s="19" t="s">
        <v>12</v>
      </c>
      <c r="B2" s="4">
        <v>0.6734</v>
      </c>
      <c r="C2" s="20">
        <v>0.68229166666666596</v>
      </c>
      <c r="D2" s="21">
        <v>32</v>
      </c>
      <c r="E2" s="21">
        <v>29</v>
      </c>
      <c r="F2" s="21">
        <v>28</v>
      </c>
      <c r="G2" s="21">
        <v>35</v>
      </c>
      <c r="J2" t="s">
        <v>379</v>
      </c>
      <c r="N2" s="11"/>
      <c r="O2" s="11"/>
      <c r="P2" s="11"/>
    </row>
    <row r="3" spans="1:19" ht="16.5" thickTop="1" thickBot="1" x14ac:dyDescent="0.3">
      <c r="A3" s="19" t="s">
        <v>13</v>
      </c>
      <c r="B3" s="4">
        <v>0.30969999999999998</v>
      </c>
      <c r="C3" s="25"/>
      <c r="D3" s="26"/>
      <c r="E3" s="26"/>
      <c r="F3" s="26"/>
      <c r="G3" s="26"/>
      <c r="H3" t="s">
        <v>379</v>
      </c>
      <c r="N3" s="11"/>
      <c r="O3" s="13">
        <v>0</v>
      </c>
      <c r="P3" s="13">
        <v>1</v>
      </c>
    </row>
    <row r="4" spans="1:19" ht="16.5" thickTop="1" thickBot="1" x14ac:dyDescent="0.3">
      <c r="A4" s="19" t="s">
        <v>14</v>
      </c>
      <c r="B4" s="4">
        <v>0.21870000000000001</v>
      </c>
      <c r="C4" s="25"/>
      <c r="D4" s="26"/>
      <c r="E4" s="26"/>
      <c r="F4" s="26"/>
      <c r="G4" s="26"/>
      <c r="H4" t="s">
        <v>379</v>
      </c>
      <c r="N4" s="13">
        <v>0</v>
      </c>
      <c r="O4" s="14">
        <f>31-P4</f>
        <v>28</v>
      </c>
      <c r="P4" s="14">
        <f>COUNTIF(L2:L32,"=MISCLASSIFIED")</f>
        <v>3</v>
      </c>
    </row>
    <row r="5" spans="1:19" ht="16.5" thickTop="1" thickBot="1" x14ac:dyDescent="0.3">
      <c r="A5" s="19" t="s">
        <v>18</v>
      </c>
      <c r="B5" s="4">
        <v>0.3967</v>
      </c>
      <c r="C5" s="25"/>
      <c r="H5" t="s">
        <v>379</v>
      </c>
      <c r="N5" s="13">
        <v>1</v>
      </c>
      <c r="O5" s="14">
        <f>COUNTIF(L38:L107,"=MISCLASSIFIED")</f>
        <v>4</v>
      </c>
      <c r="P5" s="14">
        <f>70-O5</f>
        <v>66</v>
      </c>
    </row>
    <row r="6" spans="1:19" ht="16.5" thickTop="1" thickBot="1" x14ac:dyDescent="0.3">
      <c r="A6" s="19" t="s">
        <v>22</v>
      </c>
      <c r="B6" s="4">
        <v>0.49209999999999998</v>
      </c>
      <c r="C6" s="20">
        <v>0.553459119496855</v>
      </c>
      <c r="D6" s="21">
        <v>41</v>
      </c>
      <c r="E6" s="21">
        <v>40</v>
      </c>
      <c r="F6" s="21">
        <v>36</v>
      </c>
      <c r="G6" s="21">
        <v>31</v>
      </c>
      <c r="J6" t="s">
        <v>379</v>
      </c>
    </row>
    <row r="7" spans="1:19" ht="16.5" thickTop="1" thickBot="1" x14ac:dyDescent="0.3">
      <c r="A7" s="19" t="s">
        <v>23</v>
      </c>
      <c r="B7" s="4">
        <v>0.40970000000000001</v>
      </c>
      <c r="C7" s="20">
        <v>0.54901960784313697</v>
      </c>
      <c r="D7" s="21">
        <v>31</v>
      </c>
      <c r="E7" s="21">
        <v>38</v>
      </c>
      <c r="F7" s="21">
        <v>21</v>
      </c>
      <c r="G7" s="21">
        <v>39</v>
      </c>
      <c r="J7" t="s">
        <v>379</v>
      </c>
    </row>
    <row r="8" spans="1:19" ht="16.5" thickTop="1" thickBot="1" x14ac:dyDescent="0.3">
      <c r="A8" s="19" t="s">
        <v>38</v>
      </c>
      <c r="B8" s="4">
        <v>0.53839999999999999</v>
      </c>
      <c r="C8" s="20">
        <v>0.68820000000000003</v>
      </c>
      <c r="D8" s="21">
        <v>16</v>
      </c>
      <c r="E8" s="21">
        <v>34</v>
      </c>
      <c r="F8" s="21">
        <v>12</v>
      </c>
      <c r="G8" s="21">
        <v>25</v>
      </c>
      <c r="J8" t="s">
        <v>379</v>
      </c>
      <c r="N8" s="8" t="s">
        <v>108</v>
      </c>
      <c r="O8" s="8" t="s">
        <v>357</v>
      </c>
      <c r="P8" s="8" t="s">
        <v>358</v>
      </c>
      <c r="Q8" s="8" t="s">
        <v>359</v>
      </c>
      <c r="R8" s="8" t="s">
        <v>360</v>
      </c>
      <c r="S8" s="8" t="s">
        <v>361</v>
      </c>
    </row>
    <row r="9" spans="1:19" ht="16.5" thickTop="1" thickBot="1" x14ac:dyDescent="0.3">
      <c r="A9" s="19" t="s">
        <v>40</v>
      </c>
      <c r="B9" s="4">
        <v>0.69479999999999997</v>
      </c>
      <c r="C9" s="20">
        <v>0.68881987577639703</v>
      </c>
      <c r="D9" s="21">
        <v>45</v>
      </c>
      <c r="E9" s="21">
        <v>39</v>
      </c>
      <c r="F9" s="21">
        <v>16</v>
      </c>
      <c r="G9" s="21">
        <v>25</v>
      </c>
      <c r="J9" t="s">
        <v>379</v>
      </c>
      <c r="N9">
        <f>(O4+P5)/(O4+P5+P4+O5)</f>
        <v>0.93069306930693074</v>
      </c>
      <c r="O9">
        <f>P5/(P5+O5)</f>
        <v>0.94285714285714284</v>
      </c>
      <c r="P9">
        <f>O4/(O4+P4)</f>
        <v>0.90322580645161288</v>
      </c>
      <c r="Q9">
        <f>P5/(P5+P4)</f>
        <v>0.95652173913043481</v>
      </c>
      <c r="R9">
        <f>O4/(O4+O5)</f>
        <v>0.875</v>
      </c>
      <c r="S9">
        <f>2*O9*Q9/(O9+Q9)</f>
        <v>0.94964028776978426</v>
      </c>
    </row>
    <row r="10" spans="1:19" ht="16.5" thickTop="1" thickBot="1" x14ac:dyDescent="0.3">
      <c r="A10" s="19" t="s">
        <v>41</v>
      </c>
      <c r="B10" s="4">
        <v>0.68</v>
      </c>
      <c r="C10" s="20">
        <v>0.72527472527472503</v>
      </c>
      <c r="D10" s="21">
        <v>27</v>
      </c>
      <c r="E10" s="21">
        <v>26</v>
      </c>
      <c r="F10" s="21">
        <v>24</v>
      </c>
      <c r="G10" s="21">
        <v>22</v>
      </c>
      <c r="J10" t="s">
        <v>379</v>
      </c>
    </row>
    <row r="11" spans="1:19" ht="16.5" thickTop="1" thickBot="1" x14ac:dyDescent="0.3">
      <c r="A11" s="19" t="s">
        <v>42</v>
      </c>
      <c r="B11" s="4">
        <v>0.31090000000000001</v>
      </c>
      <c r="C11" s="27"/>
      <c r="D11" s="28"/>
      <c r="E11" s="28"/>
      <c r="F11" s="28"/>
      <c r="G11" s="28"/>
      <c r="H11" t="s">
        <v>379</v>
      </c>
    </row>
    <row r="12" spans="1:19" ht="16.5" thickTop="1" thickBot="1" x14ac:dyDescent="0.3">
      <c r="A12" s="19" t="s">
        <v>46</v>
      </c>
      <c r="B12" s="4">
        <v>0.47210000000000002</v>
      </c>
      <c r="C12" s="20">
        <v>0.56571428571428495</v>
      </c>
      <c r="D12" s="21">
        <v>43</v>
      </c>
      <c r="E12" s="21">
        <v>33</v>
      </c>
      <c r="F12" s="21">
        <v>38</v>
      </c>
      <c r="G12" s="21">
        <v>33</v>
      </c>
      <c r="J12" t="s">
        <v>379</v>
      </c>
    </row>
    <row r="13" spans="1:19" ht="16.5" thickTop="1" thickBot="1" x14ac:dyDescent="0.3">
      <c r="A13" s="19" t="s">
        <v>47</v>
      </c>
      <c r="B13" s="4">
        <v>0.31890000000000002</v>
      </c>
      <c r="C13" s="27"/>
      <c r="D13" s="28"/>
      <c r="E13" s="28"/>
      <c r="F13" s="28"/>
      <c r="G13" s="28"/>
      <c r="H13" t="s">
        <v>379</v>
      </c>
    </row>
    <row r="14" spans="1:19" ht="16.5" thickTop="1" thickBot="1" x14ac:dyDescent="0.3">
      <c r="A14" s="19" t="s">
        <v>51</v>
      </c>
      <c r="B14" s="4">
        <v>0.1197</v>
      </c>
      <c r="C14" s="27"/>
      <c r="D14" s="28"/>
      <c r="E14" s="28"/>
      <c r="F14" s="28"/>
      <c r="G14" s="28"/>
      <c r="H14" t="s">
        <v>379</v>
      </c>
    </row>
    <row r="15" spans="1:19" ht="16.5" thickTop="1" thickBot="1" x14ac:dyDescent="0.3">
      <c r="A15" s="19" t="s">
        <v>52</v>
      </c>
      <c r="B15" s="4">
        <v>0.2006</v>
      </c>
      <c r="C15" s="27"/>
      <c r="D15" s="29"/>
      <c r="E15" s="29"/>
      <c r="F15" s="29"/>
      <c r="G15" s="29"/>
      <c r="H15" t="s">
        <v>379</v>
      </c>
    </row>
    <row r="16" spans="1:19" ht="16.5" thickTop="1" thickBot="1" x14ac:dyDescent="0.3">
      <c r="A16" s="19" t="s">
        <v>62</v>
      </c>
      <c r="B16" s="4">
        <v>0.41849999999999998</v>
      </c>
      <c r="C16" s="20">
        <v>0.42970000000000003</v>
      </c>
      <c r="D16" s="28"/>
      <c r="E16" s="28"/>
      <c r="F16" s="28"/>
      <c r="G16" s="28"/>
      <c r="I16" t="s">
        <v>379</v>
      </c>
    </row>
    <row r="17" spans="1:13" ht="16.5" thickTop="1" thickBot="1" x14ac:dyDescent="0.3">
      <c r="A17" s="19" t="s">
        <v>77</v>
      </c>
      <c r="B17" s="4">
        <v>0.31090000000000001</v>
      </c>
      <c r="C17" s="27"/>
      <c r="D17" s="28"/>
      <c r="E17" s="28"/>
      <c r="F17" s="28"/>
      <c r="G17" s="28"/>
      <c r="H17" t="s">
        <v>379</v>
      </c>
    </row>
    <row r="18" spans="1:13" ht="16.5" thickTop="1" thickBot="1" x14ac:dyDescent="0.3">
      <c r="A18" s="19" t="s">
        <v>83</v>
      </c>
      <c r="B18" s="4">
        <v>0.62890000000000001</v>
      </c>
      <c r="C18" s="20">
        <v>0.59509202453987697</v>
      </c>
      <c r="D18" s="21">
        <v>34</v>
      </c>
      <c r="E18" s="21">
        <v>32</v>
      </c>
      <c r="F18" s="21">
        <v>32</v>
      </c>
      <c r="G18" s="21">
        <v>26</v>
      </c>
      <c r="J18" t="s">
        <v>379</v>
      </c>
    </row>
    <row r="19" spans="1:13" ht="16.5" thickTop="1" thickBot="1" x14ac:dyDescent="0.3">
      <c r="A19" s="19" t="s">
        <v>90</v>
      </c>
      <c r="B19" s="4">
        <v>0.8831</v>
      </c>
      <c r="C19" s="20">
        <v>0.70348837209302295</v>
      </c>
      <c r="D19" s="21">
        <v>29</v>
      </c>
      <c r="E19" s="21">
        <v>22</v>
      </c>
      <c r="F19" s="21">
        <v>19</v>
      </c>
      <c r="G19" s="21">
        <v>27</v>
      </c>
      <c r="L19" t="s">
        <v>141</v>
      </c>
      <c r="M19" s="4"/>
    </row>
    <row r="20" spans="1:13" ht="16.5" thickTop="1" thickBot="1" x14ac:dyDescent="0.3">
      <c r="A20" s="19" t="s">
        <v>94</v>
      </c>
      <c r="B20" s="4">
        <v>0.21870000000000001</v>
      </c>
      <c r="C20" s="27"/>
      <c r="D20" s="28"/>
      <c r="E20" s="28"/>
      <c r="F20" s="28"/>
      <c r="G20" s="28"/>
      <c r="H20" t="s">
        <v>379</v>
      </c>
      <c r="M20" s="4"/>
    </row>
    <row r="21" spans="1:13" ht="16.5" thickTop="1" thickBot="1" x14ac:dyDescent="0.3">
      <c r="A21" s="19" t="s">
        <v>95</v>
      </c>
      <c r="B21" s="4">
        <v>0.37080000000000002</v>
      </c>
      <c r="C21" s="27"/>
      <c r="D21" s="28"/>
      <c r="E21" s="28"/>
      <c r="F21" s="28"/>
      <c r="G21" s="28"/>
      <c r="H21" t="s">
        <v>379</v>
      </c>
      <c r="M21" s="4"/>
    </row>
    <row r="22" spans="1:13" ht="16.5" thickTop="1" thickBot="1" x14ac:dyDescent="0.3">
      <c r="A22" s="19" t="s">
        <v>96</v>
      </c>
      <c r="B22" s="4">
        <v>0.42670000000000002</v>
      </c>
      <c r="C22" s="20">
        <v>0.48979591836734598</v>
      </c>
      <c r="D22" s="28"/>
      <c r="E22" s="28"/>
      <c r="F22" s="28"/>
      <c r="G22" s="28"/>
      <c r="I22" t="s">
        <v>379</v>
      </c>
      <c r="M22" s="4"/>
    </row>
    <row r="23" spans="1:13" ht="16.5" thickTop="1" thickBot="1" x14ac:dyDescent="0.3">
      <c r="A23" s="19" t="s">
        <v>97</v>
      </c>
      <c r="B23" s="4">
        <v>0.26079999999999998</v>
      </c>
      <c r="C23" s="27"/>
      <c r="D23" s="29"/>
      <c r="E23" s="29"/>
      <c r="F23" s="29"/>
      <c r="G23" s="29"/>
      <c r="H23" t="s">
        <v>379</v>
      </c>
      <c r="M23" s="4"/>
    </row>
    <row r="24" spans="1:13" ht="16.5" thickTop="1" thickBot="1" x14ac:dyDescent="0.3">
      <c r="A24" s="19" t="s">
        <v>98</v>
      </c>
      <c r="B24" s="4">
        <v>0.27929999999999999</v>
      </c>
      <c r="C24" s="27"/>
      <c r="D24" s="28"/>
      <c r="E24" s="28"/>
      <c r="F24" s="28"/>
      <c r="G24" s="28"/>
      <c r="H24" t="s">
        <v>379</v>
      </c>
      <c r="M24" s="4"/>
    </row>
    <row r="25" spans="1:13" ht="16.5" thickTop="1" thickBot="1" x14ac:dyDescent="0.3">
      <c r="A25" s="19" t="s">
        <v>99</v>
      </c>
      <c r="B25" s="4">
        <v>0.1439</v>
      </c>
      <c r="C25" s="27"/>
      <c r="D25" s="29"/>
      <c r="E25" s="29"/>
      <c r="F25" s="29"/>
      <c r="G25" s="29"/>
      <c r="H25" t="s">
        <v>379</v>
      </c>
      <c r="M25" s="4"/>
    </row>
    <row r="26" spans="1:13" ht="16.5" thickTop="1" thickBot="1" x14ac:dyDescent="0.3">
      <c r="A26" s="19" t="s">
        <v>100</v>
      </c>
      <c r="B26" s="4">
        <v>0.37240000000000001</v>
      </c>
      <c r="C26" s="27"/>
      <c r="D26" s="29"/>
      <c r="E26" s="29"/>
      <c r="F26" s="29"/>
      <c r="G26" s="29"/>
      <c r="H26" t="s">
        <v>379</v>
      </c>
      <c r="M26" s="4"/>
    </row>
    <row r="27" spans="1:13" ht="16.5" thickTop="1" thickBot="1" x14ac:dyDescent="0.3">
      <c r="A27" s="19" t="s">
        <v>101</v>
      </c>
      <c r="B27" s="4">
        <v>0.19869999999999999</v>
      </c>
      <c r="C27" s="27"/>
      <c r="D27" s="28"/>
      <c r="E27" s="28"/>
      <c r="F27" s="28"/>
      <c r="G27" s="28"/>
      <c r="H27" t="s">
        <v>379</v>
      </c>
      <c r="M27" s="4"/>
    </row>
    <row r="28" spans="1:13" ht="16.5" thickTop="1" thickBot="1" x14ac:dyDescent="0.3">
      <c r="A28" s="19" t="s">
        <v>102</v>
      </c>
      <c r="B28" s="4">
        <v>0.57299999999999995</v>
      </c>
      <c r="C28" s="20">
        <v>0.53763440860214995</v>
      </c>
      <c r="D28" s="21">
        <v>36</v>
      </c>
      <c r="E28" s="21">
        <v>50</v>
      </c>
      <c r="F28" s="21">
        <v>45</v>
      </c>
      <c r="G28" s="21">
        <v>36</v>
      </c>
      <c r="J28" t="s">
        <v>379</v>
      </c>
      <c r="M28" s="4"/>
    </row>
    <row r="29" spans="1:13" ht="16.5" thickTop="1" thickBot="1" x14ac:dyDescent="0.3">
      <c r="A29" s="19" t="s">
        <v>103</v>
      </c>
      <c r="B29" s="4">
        <v>0.41160000000000002</v>
      </c>
      <c r="C29" s="20">
        <v>0.59782608695652095</v>
      </c>
      <c r="D29" s="21">
        <v>35</v>
      </c>
      <c r="E29" s="21">
        <v>39</v>
      </c>
      <c r="F29" s="21">
        <v>30</v>
      </c>
      <c r="G29" s="21">
        <v>47</v>
      </c>
      <c r="J29" t="s">
        <v>379</v>
      </c>
      <c r="M29" s="4"/>
    </row>
    <row r="30" spans="1:13" ht="16.5" thickTop="1" thickBot="1" x14ac:dyDescent="0.3">
      <c r="A30" s="19" t="s">
        <v>104</v>
      </c>
      <c r="B30" s="4">
        <v>0.59409999999999996</v>
      </c>
      <c r="C30" s="20">
        <v>0.559782608695652</v>
      </c>
      <c r="D30" s="21">
        <v>48</v>
      </c>
      <c r="E30" s="21">
        <v>33</v>
      </c>
      <c r="F30" s="21">
        <v>29</v>
      </c>
      <c r="G30" s="21">
        <v>45</v>
      </c>
      <c r="J30" t="s">
        <v>379</v>
      </c>
      <c r="M30" s="4"/>
    </row>
    <row r="31" spans="1:13" ht="16.5" thickTop="1" thickBot="1" x14ac:dyDescent="0.3">
      <c r="A31" s="19" t="s">
        <v>105</v>
      </c>
      <c r="B31" s="4">
        <v>0.79220000000000002</v>
      </c>
      <c r="C31" s="20">
        <v>0.93125000000000002</v>
      </c>
      <c r="D31" s="22">
        <v>38</v>
      </c>
      <c r="E31" s="22">
        <v>59</v>
      </c>
      <c r="F31" s="22">
        <v>48</v>
      </c>
      <c r="G31" s="22">
        <v>47</v>
      </c>
      <c r="L31" t="s">
        <v>141</v>
      </c>
      <c r="M31" s="4"/>
    </row>
    <row r="32" spans="1:13" ht="16.5" thickTop="1" thickBot="1" x14ac:dyDescent="0.3">
      <c r="A32" s="19" t="s">
        <v>106</v>
      </c>
      <c r="B32" s="4">
        <v>0.67379999999999995</v>
      </c>
      <c r="C32" s="20">
        <v>0.82489999999999997</v>
      </c>
      <c r="D32" s="22">
        <v>36</v>
      </c>
      <c r="E32" s="22">
        <v>54</v>
      </c>
      <c r="F32" s="22">
        <v>42</v>
      </c>
      <c r="G32" s="22">
        <v>42</v>
      </c>
      <c r="L32" t="s">
        <v>141</v>
      </c>
      <c r="M32" s="4"/>
    </row>
    <row r="33" spans="1:13" ht="15.75" thickTop="1" x14ac:dyDescent="0.25">
      <c r="A33" s="4"/>
      <c r="M33" s="4"/>
    </row>
    <row r="34" spans="1:13" x14ac:dyDescent="0.25">
      <c r="A34" s="4"/>
      <c r="B34" s="4">
        <v>0.4</v>
      </c>
      <c r="C34" s="4">
        <v>0.45</v>
      </c>
      <c r="D34" s="4"/>
      <c r="E34" s="4"/>
      <c r="F34" s="4"/>
      <c r="G34" s="4"/>
      <c r="M34" s="4"/>
    </row>
    <row r="35" spans="1:13" x14ac:dyDescent="0.25">
      <c r="B35" s="24">
        <v>0.7</v>
      </c>
      <c r="C35" s="4">
        <v>0.73</v>
      </c>
      <c r="M35" s="4"/>
    </row>
    <row r="36" spans="1:13" ht="15.75" thickBot="1" x14ac:dyDescent="0.3">
      <c r="M36" s="4"/>
    </row>
    <row r="37" spans="1:13" ht="16.5" thickTop="1" thickBot="1" x14ac:dyDescent="0.3">
      <c r="A37" s="18" t="s">
        <v>138</v>
      </c>
      <c r="B37" s="18" t="s">
        <v>142</v>
      </c>
      <c r="C37" s="18" t="s">
        <v>0</v>
      </c>
      <c r="D37" s="18" t="s">
        <v>1</v>
      </c>
      <c r="E37" s="18" t="s">
        <v>2</v>
      </c>
      <c r="F37" s="18" t="s">
        <v>3</v>
      </c>
      <c r="G37" s="18" t="s">
        <v>4</v>
      </c>
      <c r="M37" s="4"/>
    </row>
    <row r="38" spans="1:13" ht="16.5" thickTop="1" thickBot="1" x14ac:dyDescent="0.3">
      <c r="A38" s="19" t="s">
        <v>6</v>
      </c>
      <c r="B38" s="4">
        <v>0.75819999999999999</v>
      </c>
      <c r="C38" s="27"/>
      <c r="D38" s="28"/>
      <c r="E38" s="28"/>
      <c r="F38" s="28"/>
      <c r="G38" s="28"/>
      <c r="H38" t="s">
        <v>380</v>
      </c>
      <c r="M38" s="4"/>
    </row>
    <row r="39" spans="1:13" ht="16.5" thickTop="1" thickBot="1" x14ac:dyDescent="0.3">
      <c r="A39" s="19" t="s">
        <v>7</v>
      </c>
      <c r="B39" s="4">
        <v>0.6391</v>
      </c>
      <c r="C39" s="20">
        <v>0.75539568345323704</v>
      </c>
      <c r="D39" s="28"/>
      <c r="E39" s="28"/>
      <c r="F39" s="28"/>
      <c r="G39" s="28"/>
      <c r="I39" t="s">
        <v>380</v>
      </c>
      <c r="M39" s="4"/>
    </row>
    <row r="40" spans="1:13" ht="16.5" thickTop="1" thickBot="1" x14ac:dyDescent="0.3">
      <c r="A40" s="19" t="s">
        <v>8</v>
      </c>
      <c r="B40" s="4">
        <v>0.63039999999999996</v>
      </c>
      <c r="C40" s="20">
        <v>0.77777777777777701</v>
      </c>
      <c r="D40" s="28"/>
      <c r="E40" s="28"/>
      <c r="F40" s="28"/>
      <c r="G40" s="28"/>
      <c r="I40" t="s">
        <v>380</v>
      </c>
      <c r="M40" s="4"/>
    </row>
    <row r="41" spans="1:13" ht="16.5" thickTop="1" thickBot="1" x14ac:dyDescent="0.3">
      <c r="A41" s="19" t="s">
        <v>9</v>
      </c>
      <c r="B41" s="4">
        <v>0.68879999999999997</v>
      </c>
      <c r="C41" s="20">
        <v>0.6724</v>
      </c>
      <c r="D41" s="22">
        <v>5</v>
      </c>
      <c r="E41" s="22">
        <v>20</v>
      </c>
      <c r="F41" s="22">
        <v>12</v>
      </c>
      <c r="G41" s="22">
        <v>15</v>
      </c>
      <c r="J41" t="s">
        <v>380</v>
      </c>
    </row>
    <row r="42" spans="1:13" ht="16.5" thickTop="1" thickBot="1" x14ac:dyDescent="0.3">
      <c r="A42" s="19" t="s">
        <v>10</v>
      </c>
      <c r="B42" s="4">
        <v>0.79469999999999996</v>
      </c>
      <c r="C42" s="27"/>
      <c r="D42" s="28"/>
      <c r="E42" s="28"/>
      <c r="F42" s="28"/>
      <c r="G42" s="28"/>
      <c r="H42" t="s">
        <v>380</v>
      </c>
    </row>
    <row r="43" spans="1:13" ht="16.5" thickTop="1" thickBot="1" x14ac:dyDescent="0.3">
      <c r="A43" s="19" t="s">
        <v>11</v>
      </c>
      <c r="B43" s="4">
        <v>0.3498</v>
      </c>
      <c r="C43" s="20">
        <v>0.59459459459459396</v>
      </c>
      <c r="D43" s="22">
        <v>34</v>
      </c>
      <c r="E43" s="22">
        <v>41</v>
      </c>
      <c r="F43" s="22">
        <v>36</v>
      </c>
      <c r="G43" s="22">
        <v>34</v>
      </c>
      <c r="L43" t="s">
        <v>141</v>
      </c>
      <c r="M43" s="4"/>
    </row>
    <row r="44" spans="1:13" ht="16.5" thickTop="1" thickBot="1" x14ac:dyDescent="0.3">
      <c r="A44" s="19" t="s">
        <v>15</v>
      </c>
      <c r="B44" s="4">
        <v>0.82499999999999996</v>
      </c>
      <c r="C44" s="27"/>
      <c r="D44" s="28"/>
      <c r="E44" s="28"/>
      <c r="F44" s="28"/>
      <c r="G44" s="28"/>
      <c r="H44" t="s">
        <v>380</v>
      </c>
      <c r="M44" s="4"/>
    </row>
    <row r="45" spans="1:13" ht="16.5" thickTop="1" thickBot="1" x14ac:dyDescent="0.3">
      <c r="A45" s="19" t="s">
        <v>16</v>
      </c>
      <c r="B45" s="4">
        <v>0.64239999999999997</v>
      </c>
      <c r="C45" s="20">
        <v>0.77564102564102499</v>
      </c>
      <c r="D45" s="28"/>
      <c r="E45" s="28"/>
      <c r="F45" s="28"/>
      <c r="G45" s="28"/>
      <c r="I45" t="s">
        <v>380</v>
      </c>
      <c r="M45" s="4"/>
    </row>
    <row r="46" spans="1:13" ht="16.5" thickTop="1" thickBot="1" x14ac:dyDescent="0.3">
      <c r="A46" s="19" t="s">
        <v>17</v>
      </c>
      <c r="B46" s="4">
        <v>0.67969999999999997</v>
      </c>
      <c r="C46" s="20">
        <v>0.87820512820512797</v>
      </c>
      <c r="D46" s="28"/>
      <c r="E46" s="28"/>
      <c r="F46" s="28"/>
      <c r="G46" s="28"/>
      <c r="I46" t="s">
        <v>380</v>
      </c>
      <c r="M46" s="4"/>
    </row>
    <row r="47" spans="1:13" ht="16.5" thickTop="1" thickBot="1" x14ac:dyDescent="0.3">
      <c r="A47" s="19" t="s">
        <v>19</v>
      </c>
      <c r="B47" s="4">
        <v>0.71109999999999995</v>
      </c>
      <c r="C47" s="27"/>
      <c r="D47" s="28"/>
      <c r="E47" s="28"/>
      <c r="F47" s="28"/>
      <c r="G47" s="28"/>
      <c r="H47" t="s">
        <v>380</v>
      </c>
      <c r="M47" s="4"/>
    </row>
    <row r="48" spans="1:13" ht="16.5" thickTop="1" thickBot="1" x14ac:dyDescent="0.3">
      <c r="A48" s="19" t="s">
        <v>20</v>
      </c>
      <c r="B48" s="4">
        <v>0.69289999999999996</v>
      </c>
      <c r="C48" s="20">
        <v>0.89171974522292996</v>
      </c>
      <c r="D48" s="28"/>
      <c r="E48" s="28"/>
      <c r="F48" s="28"/>
      <c r="G48" s="28"/>
      <c r="I48" t="s">
        <v>380</v>
      </c>
      <c r="M48" s="4"/>
    </row>
    <row r="49" spans="1:13" ht="16.5" thickTop="1" thickBot="1" x14ac:dyDescent="0.3">
      <c r="A49" s="19" t="s">
        <v>21</v>
      </c>
      <c r="B49" s="4">
        <v>0.57340000000000002</v>
      </c>
      <c r="C49" s="20">
        <v>0.63280000000000003</v>
      </c>
      <c r="D49" s="22">
        <v>2</v>
      </c>
      <c r="E49" s="22">
        <v>31</v>
      </c>
      <c r="F49" s="22">
        <v>18</v>
      </c>
      <c r="G49" s="22">
        <v>16</v>
      </c>
      <c r="J49" t="s">
        <v>380</v>
      </c>
      <c r="M49" s="4"/>
    </row>
    <row r="50" spans="1:13" ht="16.5" thickTop="1" thickBot="1" x14ac:dyDescent="0.3">
      <c r="A50" s="19" t="s">
        <v>24</v>
      </c>
      <c r="B50" s="4">
        <v>0.81620000000000004</v>
      </c>
      <c r="C50" s="27"/>
      <c r="D50" s="28"/>
      <c r="E50" s="28"/>
      <c r="F50" s="28"/>
      <c r="G50" s="28"/>
      <c r="H50" t="s">
        <v>380</v>
      </c>
      <c r="M50" s="4"/>
    </row>
    <row r="51" spans="1:13" ht="16.5" thickTop="1" thickBot="1" x14ac:dyDescent="0.3">
      <c r="A51" s="19" t="s">
        <v>25</v>
      </c>
      <c r="B51" s="4">
        <v>0.63870000000000005</v>
      </c>
      <c r="C51" s="20">
        <v>0.79213483146067398</v>
      </c>
      <c r="D51" s="28"/>
      <c r="E51" s="28"/>
      <c r="F51" s="28"/>
      <c r="G51" s="28"/>
      <c r="I51" t="s">
        <v>380</v>
      </c>
      <c r="M51" s="4"/>
    </row>
    <row r="52" spans="1:13" ht="16.5" thickTop="1" thickBot="1" x14ac:dyDescent="0.3">
      <c r="A52" s="19" t="s">
        <v>26</v>
      </c>
      <c r="B52" s="4">
        <v>0.72089999999999999</v>
      </c>
      <c r="C52" s="27"/>
      <c r="H52" t="s">
        <v>380</v>
      </c>
      <c r="M52" s="4"/>
    </row>
    <row r="53" spans="1:13" ht="16.5" thickTop="1" thickBot="1" x14ac:dyDescent="0.3">
      <c r="A53" s="19" t="s">
        <v>27</v>
      </c>
      <c r="B53" s="4">
        <v>0.49280000000000002</v>
      </c>
      <c r="C53" s="20">
        <v>0.45229999999999998</v>
      </c>
      <c r="D53" s="22">
        <v>24</v>
      </c>
      <c r="E53" s="22">
        <v>26</v>
      </c>
      <c r="F53" s="22">
        <v>25</v>
      </c>
      <c r="G53" s="22">
        <v>21</v>
      </c>
      <c r="J53" t="s">
        <v>380</v>
      </c>
      <c r="M53" s="4"/>
    </row>
    <row r="54" spans="1:13" ht="16.5" thickTop="1" thickBot="1" x14ac:dyDescent="0.3">
      <c r="A54" s="19" t="s">
        <v>28</v>
      </c>
      <c r="B54" s="4">
        <v>0.51600000000000001</v>
      </c>
      <c r="C54" s="20">
        <v>0.71482758620689602</v>
      </c>
      <c r="D54" s="22">
        <v>7</v>
      </c>
      <c r="E54" s="22">
        <v>30</v>
      </c>
      <c r="F54" s="22">
        <v>16</v>
      </c>
      <c r="G54" s="22">
        <v>20</v>
      </c>
      <c r="J54" t="s">
        <v>380</v>
      </c>
      <c r="M54" s="4"/>
    </row>
    <row r="55" spans="1:13" ht="16.5" thickTop="1" thickBot="1" x14ac:dyDescent="0.3">
      <c r="A55" s="19" t="s">
        <v>29</v>
      </c>
      <c r="B55" s="4">
        <v>0.70379999999999998</v>
      </c>
      <c r="C55" s="27"/>
      <c r="D55" s="28"/>
      <c r="E55" s="28"/>
      <c r="F55" s="28"/>
      <c r="G55" s="28"/>
      <c r="H55" t="s">
        <v>380</v>
      </c>
      <c r="M55" s="4"/>
    </row>
    <row r="56" spans="1:13" ht="16.5" thickTop="1" thickBot="1" x14ac:dyDescent="0.3">
      <c r="A56" s="19" t="s">
        <v>30</v>
      </c>
      <c r="B56" s="4">
        <v>0.73440000000000005</v>
      </c>
      <c r="C56" s="27"/>
      <c r="D56" s="28"/>
      <c r="E56" s="28"/>
      <c r="F56" s="28"/>
      <c r="G56" s="28"/>
      <c r="H56" t="s">
        <v>380</v>
      </c>
      <c r="M56" s="4"/>
    </row>
    <row r="57" spans="1:13" ht="16.5" thickTop="1" thickBot="1" x14ac:dyDescent="0.3">
      <c r="A57" s="19" t="s">
        <v>31</v>
      </c>
      <c r="B57" s="4">
        <v>0.95889999999999997</v>
      </c>
      <c r="C57" s="27"/>
      <c r="D57" s="28"/>
      <c r="E57" s="28"/>
      <c r="F57" s="28"/>
      <c r="G57" s="28"/>
      <c r="H57" t="s">
        <v>380</v>
      </c>
      <c r="M57" s="4"/>
    </row>
    <row r="58" spans="1:13" ht="16.5" thickTop="1" thickBot="1" x14ac:dyDescent="0.3">
      <c r="A58" s="19" t="s">
        <v>32</v>
      </c>
      <c r="B58" s="4">
        <v>0.63219999999999998</v>
      </c>
      <c r="C58" s="20">
        <v>0.70322580645161203</v>
      </c>
      <c r="D58" s="22">
        <v>17</v>
      </c>
      <c r="E58" s="22">
        <v>29</v>
      </c>
      <c r="F58" s="22">
        <v>32</v>
      </c>
      <c r="G58" s="22">
        <v>18</v>
      </c>
      <c r="J58" t="s">
        <v>380</v>
      </c>
      <c r="M58" s="4"/>
    </row>
    <row r="59" spans="1:13" ht="16.5" thickTop="1" thickBot="1" x14ac:dyDescent="0.3">
      <c r="A59" s="19" t="s">
        <v>33</v>
      </c>
      <c r="B59" s="4">
        <v>0.77410000000000001</v>
      </c>
      <c r="C59" s="27"/>
      <c r="D59" s="28"/>
      <c r="E59" s="28"/>
      <c r="F59" s="28"/>
      <c r="G59" s="28"/>
      <c r="H59" t="s">
        <v>380</v>
      </c>
      <c r="M59" s="4"/>
    </row>
    <row r="60" spans="1:13" ht="16.5" thickTop="1" thickBot="1" x14ac:dyDescent="0.3">
      <c r="A60" s="19" t="s">
        <v>34</v>
      </c>
      <c r="B60" s="4">
        <v>0.68569999999999998</v>
      </c>
      <c r="C60" s="20">
        <v>0.48309999999999997</v>
      </c>
      <c r="D60" s="22">
        <v>9</v>
      </c>
      <c r="E60" s="22">
        <v>28</v>
      </c>
      <c r="F60" s="22">
        <v>22</v>
      </c>
      <c r="G60" s="22">
        <v>13</v>
      </c>
      <c r="J60" t="s">
        <v>380</v>
      </c>
    </row>
    <row r="61" spans="1:13" ht="16.5" thickTop="1" thickBot="1" x14ac:dyDescent="0.3">
      <c r="A61" s="19" t="s">
        <v>35</v>
      </c>
      <c r="B61" s="4">
        <v>0.64590000000000003</v>
      </c>
      <c r="C61" s="20">
        <v>0.75722543352601102</v>
      </c>
      <c r="I61" t="s">
        <v>380</v>
      </c>
      <c r="M61" s="4"/>
    </row>
    <row r="62" spans="1:13" ht="16.5" thickTop="1" thickBot="1" x14ac:dyDescent="0.3">
      <c r="A62" s="19" t="s">
        <v>36</v>
      </c>
      <c r="B62" s="4">
        <v>0.52370000000000005</v>
      </c>
      <c r="C62" s="20">
        <v>0.56790123456790098</v>
      </c>
      <c r="D62" s="22">
        <v>93</v>
      </c>
      <c r="E62" s="22">
        <v>23</v>
      </c>
      <c r="F62" s="22">
        <v>20</v>
      </c>
      <c r="G62" s="22">
        <v>28</v>
      </c>
      <c r="J62" t="s">
        <v>380</v>
      </c>
      <c r="M62" s="4"/>
    </row>
    <row r="63" spans="1:13" ht="16.5" thickTop="1" thickBot="1" x14ac:dyDescent="0.3">
      <c r="A63" s="19" t="s">
        <v>37</v>
      </c>
      <c r="B63" s="4">
        <v>0.6946</v>
      </c>
      <c r="C63" s="20">
        <v>0.71162790697674405</v>
      </c>
      <c r="I63" t="s">
        <v>380</v>
      </c>
      <c r="M63" s="4"/>
    </row>
    <row r="64" spans="1:13" ht="16.5" thickTop="1" thickBot="1" x14ac:dyDescent="0.3">
      <c r="A64" s="19" t="s">
        <v>39</v>
      </c>
      <c r="B64" s="4">
        <v>0.67249999999999999</v>
      </c>
      <c r="C64" s="20">
        <v>0.68390804597701105</v>
      </c>
      <c r="D64" s="22">
        <v>25</v>
      </c>
      <c r="E64" s="22">
        <v>30</v>
      </c>
      <c r="F64" s="22">
        <v>24</v>
      </c>
      <c r="G64" s="22">
        <v>25</v>
      </c>
      <c r="J64" t="s">
        <v>380</v>
      </c>
      <c r="M64" s="4"/>
    </row>
    <row r="65" spans="1:13" ht="16.5" thickTop="1" thickBot="1" x14ac:dyDescent="0.3">
      <c r="A65" s="19" t="s">
        <v>43</v>
      </c>
      <c r="B65" s="4">
        <v>0.38640000000000002</v>
      </c>
      <c r="C65" s="20">
        <v>0.53669999999999995</v>
      </c>
      <c r="D65" s="36">
        <v>41</v>
      </c>
      <c r="E65" s="36">
        <v>21</v>
      </c>
      <c r="F65" s="36">
        <v>25</v>
      </c>
      <c r="G65" s="36">
        <v>22</v>
      </c>
      <c r="L65" t="s">
        <v>141</v>
      </c>
      <c r="M65" s="4"/>
    </row>
    <row r="66" spans="1:13" ht="16.5" thickTop="1" thickBot="1" x14ac:dyDescent="0.3">
      <c r="A66" s="19" t="s">
        <v>44</v>
      </c>
      <c r="B66" s="4">
        <v>0.67410000000000003</v>
      </c>
      <c r="C66" s="20">
        <v>0.80898876404494302</v>
      </c>
      <c r="I66" t="s">
        <v>380</v>
      </c>
      <c r="M66" s="4"/>
    </row>
    <row r="67" spans="1:13" ht="16.5" thickTop="1" thickBot="1" x14ac:dyDescent="0.3">
      <c r="A67" s="19" t="s">
        <v>45</v>
      </c>
      <c r="B67" s="4">
        <v>0.64939999999999998</v>
      </c>
      <c r="C67" s="20">
        <v>0.64780000000000004</v>
      </c>
      <c r="D67" s="22">
        <v>8</v>
      </c>
      <c r="E67" s="22">
        <v>21</v>
      </c>
      <c r="F67" s="22">
        <v>16</v>
      </c>
      <c r="G67" s="22">
        <v>20</v>
      </c>
      <c r="J67" t="s">
        <v>380</v>
      </c>
      <c r="M67" s="4"/>
    </row>
    <row r="68" spans="1:13" ht="16.5" thickTop="1" thickBot="1" x14ac:dyDescent="0.3">
      <c r="A68" s="19" t="s">
        <v>48</v>
      </c>
      <c r="B68" s="4">
        <v>0.28739999999999999</v>
      </c>
      <c r="C68" s="20">
        <v>0.41689999999999999</v>
      </c>
      <c r="D68" s="22">
        <v>21</v>
      </c>
      <c r="E68" s="22">
        <v>13</v>
      </c>
      <c r="F68" s="22">
        <v>29</v>
      </c>
      <c r="G68" s="22">
        <v>17</v>
      </c>
      <c r="L68" t="s">
        <v>141</v>
      </c>
      <c r="M68" s="4"/>
    </row>
    <row r="69" spans="1:13" ht="16.5" thickTop="1" thickBot="1" x14ac:dyDescent="0.3">
      <c r="A69" s="19" t="s">
        <v>49</v>
      </c>
      <c r="B69" s="4">
        <v>0.63839999999999997</v>
      </c>
      <c r="C69" s="20">
        <v>0.77160493827160404</v>
      </c>
      <c r="D69" s="28"/>
      <c r="E69" s="28"/>
      <c r="F69" s="28"/>
      <c r="G69" s="28"/>
      <c r="I69" t="s">
        <v>380</v>
      </c>
      <c r="M69" s="4"/>
    </row>
    <row r="70" spans="1:13" ht="16.5" thickTop="1" thickBot="1" x14ac:dyDescent="0.3">
      <c r="A70" s="19" t="s">
        <v>50</v>
      </c>
      <c r="B70" s="4">
        <v>0.31879999999999997</v>
      </c>
      <c r="C70" s="20">
        <v>0.57534246575342396</v>
      </c>
      <c r="D70" s="22">
        <v>26</v>
      </c>
      <c r="E70" s="22">
        <v>36</v>
      </c>
      <c r="F70" s="22">
        <v>31</v>
      </c>
      <c r="G70" s="22">
        <v>31</v>
      </c>
      <c r="L70" s="4" t="s">
        <v>141</v>
      </c>
      <c r="M70" s="4"/>
    </row>
    <row r="71" spans="1:13" ht="16.5" thickTop="1" thickBot="1" x14ac:dyDescent="0.3">
      <c r="A71" s="19" t="s">
        <v>53</v>
      </c>
      <c r="B71" s="4">
        <v>0.64890000000000003</v>
      </c>
      <c r="C71" s="20">
        <v>0.75</v>
      </c>
      <c r="D71" s="22">
        <v>14</v>
      </c>
      <c r="E71" s="22">
        <v>34</v>
      </c>
      <c r="F71" s="22">
        <v>29</v>
      </c>
      <c r="G71" s="22">
        <v>33</v>
      </c>
      <c r="J71" t="s">
        <v>380</v>
      </c>
      <c r="M71" s="4"/>
    </row>
    <row r="72" spans="1:13" ht="16.5" thickTop="1" thickBot="1" x14ac:dyDescent="0.3">
      <c r="A72" s="19" t="s">
        <v>54</v>
      </c>
      <c r="B72" s="4">
        <v>0.6421</v>
      </c>
      <c r="C72" s="20">
        <v>0.69740000000000002</v>
      </c>
      <c r="D72" s="22">
        <v>12</v>
      </c>
      <c r="E72" s="22">
        <v>32</v>
      </c>
      <c r="F72" s="22">
        <v>16</v>
      </c>
      <c r="G72" s="22">
        <v>32</v>
      </c>
      <c r="J72" t="s">
        <v>380</v>
      </c>
      <c r="M72" s="4"/>
    </row>
    <row r="73" spans="1:13" ht="16.5" thickTop="1" thickBot="1" x14ac:dyDescent="0.3">
      <c r="A73" s="19" t="s">
        <v>55</v>
      </c>
      <c r="B73" s="4">
        <v>0.63219999999999998</v>
      </c>
      <c r="C73" s="20">
        <v>0.64370000000000005</v>
      </c>
      <c r="D73" s="22">
        <v>6</v>
      </c>
      <c r="E73" s="22">
        <v>30</v>
      </c>
      <c r="F73" s="22">
        <v>16</v>
      </c>
      <c r="G73" s="22">
        <v>21</v>
      </c>
      <c r="J73" t="s">
        <v>380</v>
      </c>
      <c r="M73" s="4"/>
    </row>
    <row r="74" spans="1:13" ht="16.5" thickTop="1" thickBot="1" x14ac:dyDescent="0.3">
      <c r="A74" s="19" t="s">
        <v>56</v>
      </c>
      <c r="B74" s="4">
        <v>0.5635</v>
      </c>
      <c r="C74" s="20">
        <v>0.49530000000000002</v>
      </c>
      <c r="D74" s="22">
        <v>15</v>
      </c>
      <c r="E74" s="22">
        <v>30</v>
      </c>
      <c r="F74" s="22">
        <v>18</v>
      </c>
      <c r="G74" s="22">
        <v>15</v>
      </c>
      <c r="J74" t="s">
        <v>380</v>
      </c>
      <c r="L74" s="4"/>
      <c r="M74" s="4"/>
    </row>
    <row r="75" spans="1:13" ht="16.5" thickTop="1" thickBot="1" x14ac:dyDescent="0.3">
      <c r="A75" s="19" t="s">
        <v>57</v>
      </c>
      <c r="B75" s="4">
        <v>0.74980000000000002</v>
      </c>
      <c r="C75" s="27"/>
      <c r="H75" t="s">
        <v>380</v>
      </c>
      <c r="M75" s="4"/>
    </row>
    <row r="76" spans="1:13" ht="16.5" thickTop="1" thickBot="1" x14ac:dyDescent="0.3">
      <c r="A76" s="19" t="s">
        <v>58</v>
      </c>
      <c r="B76" s="4">
        <v>0.94159999999999999</v>
      </c>
      <c r="C76" s="27"/>
      <c r="D76" s="28"/>
      <c r="E76" s="28"/>
      <c r="F76" s="28"/>
      <c r="G76" s="28"/>
      <c r="H76" t="s">
        <v>380</v>
      </c>
      <c r="M76" s="4"/>
    </row>
    <row r="77" spans="1:13" ht="16.5" thickTop="1" thickBot="1" x14ac:dyDescent="0.3">
      <c r="A77" s="19" t="s">
        <v>59</v>
      </c>
      <c r="B77" s="4">
        <v>0.67379999999999995</v>
      </c>
      <c r="C77" s="20">
        <v>0.46439999999999998</v>
      </c>
      <c r="D77" s="22">
        <v>4</v>
      </c>
      <c r="E77" s="22">
        <v>33</v>
      </c>
      <c r="F77" s="22">
        <v>14</v>
      </c>
      <c r="G77" s="22">
        <v>20</v>
      </c>
      <c r="J77" t="s">
        <v>380</v>
      </c>
      <c r="M77" s="4"/>
    </row>
    <row r="78" spans="1:13" ht="16.5" thickTop="1" thickBot="1" x14ac:dyDescent="0.3">
      <c r="A78" s="19" t="s">
        <v>60</v>
      </c>
      <c r="B78" s="4">
        <v>0.78200000000000003</v>
      </c>
      <c r="C78" s="27"/>
      <c r="D78" s="28"/>
      <c r="E78" s="28"/>
      <c r="F78" s="28"/>
      <c r="G78" s="28"/>
      <c r="H78" t="s">
        <v>380</v>
      </c>
      <c r="M78" s="4"/>
    </row>
    <row r="79" spans="1:13" ht="16.5" thickTop="1" thickBot="1" x14ac:dyDescent="0.3">
      <c r="A79" s="19" t="s">
        <v>61</v>
      </c>
      <c r="B79" s="4">
        <v>0.41720000000000002</v>
      </c>
      <c r="C79" s="20">
        <v>0.5</v>
      </c>
      <c r="D79" s="22">
        <v>32</v>
      </c>
      <c r="E79" s="22">
        <v>45</v>
      </c>
      <c r="F79" s="22">
        <v>37</v>
      </c>
      <c r="G79" s="22">
        <v>41</v>
      </c>
      <c r="J79" t="s">
        <v>380</v>
      </c>
      <c r="M79" s="4"/>
    </row>
    <row r="80" spans="1:13" ht="16.5" thickTop="1" thickBot="1" x14ac:dyDescent="0.3">
      <c r="A80" s="19" t="s">
        <v>63</v>
      </c>
      <c r="B80" s="4">
        <v>0.7611</v>
      </c>
      <c r="C80" s="27"/>
      <c r="D80" s="28"/>
      <c r="E80" s="28"/>
      <c r="F80" s="28"/>
      <c r="G80" s="28"/>
      <c r="H80" t="s">
        <v>380</v>
      </c>
      <c r="M80" s="4"/>
    </row>
    <row r="81" spans="1:13" ht="16.5" thickTop="1" thickBot="1" x14ac:dyDescent="0.3">
      <c r="A81" s="19" t="s">
        <v>64</v>
      </c>
      <c r="B81" s="4">
        <v>0.70289999999999997</v>
      </c>
      <c r="C81" s="27"/>
      <c r="D81" s="28"/>
      <c r="E81" s="28"/>
      <c r="F81" s="28"/>
      <c r="G81" s="28"/>
      <c r="H81" t="s">
        <v>380</v>
      </c>
      <c r="M81" s="4"/>
    </row>
    <row r="82" spans="1:13" ht="16.5" thickTop="1" thickBot="1" x14ac:dyDescent="0.3">
      <c r="A82" s="19" t="s">
        <v>65</v>
      </c>
      <c r="B82" s="4">
        <v>0.97360000000000002</v>
      </c>
      <c r="C82" s="27"/>
      <c r="D82" s="28"/>
      <c r="E82" s="28"/>
      <c r="F82" s="28"/>
      <c r="G82" s="28"/>
      <c r="H82" t="s">
        <v>380</v>
      </c>
      <c r="M82" s="4"/>
    </row>
    <row r="83" spans="1:13" ht="16.5" thickTop="1" thickBot="1" x14ac:dyDescent="0.3">
      <c r="A83" s="19" t="s">
        <v>66</v>
      </c>
      <c r="B83" s="4">
        <v>0.72689999999999999</v>
      </c>
      <c r="C83" s="27"/>
      <c r="D83" s="28"/>
      <c r="E83" s="28"/>
      <c r="F83" s="28"/>
      <c r="G83" s="28"/>
      <c r="H83" t="s">
        <v>380</v>
      </c>
      <c r="M83" s="4"/>
    </row>
    <row r="84" spans="1:13" ht="16.5" thickTop="1" thickBot="1" x14ac:dyDescent="0.3">
      <c r="A84" s="19" t="s">
        <v>67</v>
      </c>
      <c r="B84" s="4">
        <v>0.64049999999999996</v>
      </c>
      <c r="C84" s="20">
        <v>0.712643678160919</v>
      </c>
      <c r="D84" s="22">
        <v>32</v>
      </c>
      <c r="E84" s="22">
        <v>18</v>
      </c>
      <c r="F84" s="22">
        <v>30</v>
      </c>
      <c r="G84" s="22">
        <v>24</v>
      </c>
      <c r="J84" t="s">
        <v>380</v>
      </c>
      <c r="M84" s="4"/>
    </row>
    <row r="85" spans="1:13" ht="16.5" thickTop="1" thickBot="1" x14ac:dyDescent="0.3">
      <c r="A85" s="19" t="s">
        <v>68</v>
      </c>
      <c r="B85" s="4">
        <v>0.96240000000000003</v>
      </c>
      <c r="C85" s="27"/>
      <c r="D85" s="28"/>
      <c r="E85" s="28"/>
      <c r="F85" s="28"/>
      <c r="G85" s="28"/>
      <c r="H85" t="s">
        <v>380</v>
      </c>
      <c r="M85" s="4"/>
    </row>
    <row r="86" spans="1:13" ht="16.5" thickTop="1" thickBot="1" x14ac:dyDescent="0.3">
      <c r="A86" s="19" t="s">
        <v>69</v>
      </c>
      <c r="B86" s="4">
        <v>0.68230000000000002</v>
      </c>
      <c r="C86" s="20">
        <v>0.79581151832460695</v>
      </c>
      <c r="D86" s="28"/>
      <c r="E86" s="28"/>
      <c r="F86" s="28"/>
      <c r="G86" s="28"/>
      <c r="I86" t="s">
        <v>380</v>
      </c>
      <c r="M86" s="4"/>
    </row>
    <row r="87" spans="1:13" ht="16.5" thickTop="1" thickBot="1" x14ac:dyDescent="0.3">
      <c r="A87" s="19" t="s">
        <v>70</v>
      </c>
      <c r="B87" s="4">
        <v>0.69379999999999997</v>
      </c>
      <c r="C87" s="20">
        <v>0.51980000000000004</v>
      </c>
      <c r="D87" s="22">
        <v>11</v>
      </c>
      <c r="E87" s="22">
        <v>21</v>
      </c>
      <c r="F87" s="22">
        <v>19</v>
      </c>
      <c r="G87" s="22">
        <v>20</v>
      </c>
      <c r="J87" t="s">
        <v>380</v>
      </c>
      <c r="M87" s="4"/>
    </row>
    <row r="88" spans="1:13" ht="16.5" thickTop="1" thickBot="1" x14ac:dyDescent="0.3">
      <c r="A88" s="19" t="s">
        <v>71</v>
      </c>
      <c r="B88" s="4">
        <v>0.63470000000000004</v>
      </c>
      <c r="C88" s="20">
        <v>0.78048780487804803</v>
      </c>
      <c r="D88" s="28"/>
      <c r="E88" s="28"/>
      <c r="F88" s="28"/>
      <c r="G88" s="28"/>
      <c r="I88" t="s">
        <v>380</v>
      </c>
      <c r="M88" s="4"/>
    </row>
    <row r="89" spans="1:13" ht="16.5" thickTop="1" thickBot="1" x14ac:dyDescent="0.3">
      <c r="A89" s="19" t="s">
        <v>72</v>
      </c>
      <c r="B89" s="4">
        <v>0.81669999999999998</v>
      </c>
      <c r="C89" s="27"/>
      <c r="D89" s="28"/>
      <c r="E89" s="28"/>
      <c r="F89" s="28"/>
      <c r="G89" s="28"/>
      <c r="H89" t="s">
        <v>380</v>
      </c>
      <c r="M89" s="4"/>
    </row>
    <row r="90" spans="1:13" ht="16.5" thickTop="1" thickBot="1" x14ac:dyDescent="0.3">
      <c r="A90" s="19" t="s">
        <v>73</v>
      </c>
      <c r="B90" s="4">
        <v>0.90669999999999995</v>
      </c>
      <c r="C90" s="27"/>
      <c r="D90" s="28"/>
      <c r="E90" s="28"/>
      <c r="F90" s="28"/>
      <c r="G90" s="28"/>
      <c r="H90" t="s">
        <v>380</v>
      </c>
      <c r="M90" s="4"/>
    </row>
    <row r="91" spans="1:13" ht="16.5" thickTop="1" thickBot="1" x14ac:dyDescent="0.3">
      <c r="A91" s="19" t="s">
        <v>74</v>
      </c>
      <c r="B91" s="4">
        <v>0.98409999999999997</v>
      </c>
      <c r="C91" s="27"/>
      <c r="D91" s="28"/>
      <c r="E91" s="28"/>
      <c r="F91" s="28"/>
      <c r="G91" s="28"/>
      <c r="H91" t="s">
        <v>380</v>
      </c>
      <c r="M91" s="4"/>
    </row>
    <row r="92" spans="1:13" ht="16.5" thickTop="1" thickBot="1" x14ac:dyDescent="0.3">
      <c r="A92" s="19" t="s">
        <v>75</v>
      </c>
      <c r="B92" s="4">
        <v>0.69940000000000002</v>
      </c>
      <c r="C92" s="20">
        <v>0.97360000000000002</v>
      </c>
      <c r="D92" s="28"/>
      <c r="E92" s="28"/>
      <c r="F92" s="28"/>
      <c r="G92" s="28"/>
      <c r="I92" t="s">
        <v>380</v>
      </c>
      <c r="M92" s="4"/>
    </row>
    <row r="93" spans="1:13" ht="16.5" thickTop="1" thickBot="1" x14ac:dyDescent="0.3">
      <c r="A93" s="19" t="s">
        <v>76</v>
      </c>
      <c r="B93" s="4">
        <v>0.70669999999999999</v>
      </c>
      <c r="C93" s="27"/>
      <c r="D93" s="28"/>
      <c r="E93" s="28"/>
      <c r="F93" s="28"/>
      <c r="G93" s="28"/>
      <c r="H93" t="s">
        <v>380</v>
      </c>
      <c r="M93" s="4"/>
    </row>
    <row r="94" spans="1:13" ht="16.5" thickTop="1" thickBot="1" x14ac:dyDescent="0.3">
      <c r="A94" s="19" t="s">
        <v>78</v>
      </c>
      <c r="B94" s="4">
        <v>0.77259999999999995</v>
      </c>
      <c r="C94" s="27"/>
      <c r="D94" s="28"/>
      <c r="E94" s="28"/>
      <c r="F94" s="28"/>
      <c r="G94" s="28"/>
      <c r="H94" t="s">
        <v>380</v>
      </c>
      <c r="M94" s="4"/>
    </row>
    <row r="95" spans="1:13" ht="16.5" thickTop="1" thickBot="1" x14ac:dyDescent="0.3">
      <c r="A95" s="19" t="s">
        <v>79</v>
      </c>
      <c r="B95" s="4">
        <v>0.69969999999999999</v>
      </c>
      <c r="C95" s="20">
        <v>0.85</v>
      </c>
      <c r="D95" s="28"/>
      <c r="E95" s="28"/>
      <c r="F95" s="28"/>
      <c r="G95" s="28"/>
      <c r="I95" t="s">
        <v>380</v>
      </c>
      <c r="M95" s="4"/>
    </row>
    <row r="96" spans="1:13" ht="16.5" thickTop="1" thickBot="1" x14ac:dyDescent="0.3">
      <c r="A96" s="19" t="s">
        <v>80</v>
      </c>
      <c r="B96" s="4">
        <v>0.7591</v>
      </c>
      <c r="C96" s="27"/>
      <c r="D96" s="28"/>
      <c r="E96" s="28"/>
      <c r="F96" s="28"/>
      <c r="G96" s="28"/>
      <c r="H96" t="s">
        <v>380</v>
      </c>
      <c r="M96" s="4"/>
    </row>
    <row r="97" spans="1:13" ht="16.5" thickTop="1" thickBot="1" x14ac:dyDescent="0.3">
      <c r="A97" s="19" t="s">
        <v>81</v>
      </c>
      <c r="B97" s="4">
        <v>0.73329999999999995</v>
      </c>
      <c r="C97" s="27"/>
      <c r="D97" s="28"/>
      <c r="E97" s="28"/>
      <c r="F97" s="28"/>
      <c r="G97" s="28"/>
      <c r="H97" t="s">
        <v>380</v>
      </c>
      <c r="M97" s="4"/>
    </row>
    <row r="98" spans="1:13" ht="16.5" thickTop="1" thickBot="1" x14ac:dyDescent="0.3">
      <c r="A98" s="19" t="s">
        <v>82</v>
      </c>
      <c r="B98" s="4">
        <v>0.84340000000000004</v>
      </c>
      <c r="C98" s="27"/>
      <c r="D98" s="28"/>
      <c r="E98" s="28"/>
      <c r="F98" s="28"/>
      <c r="G98" s="28"/>
      <c r="H98" t="s">
        <v>380</v>
      </c>
      <c r="M98" s="4"/>
    </row>
    <row r="99" spans="1:13" ht="16.5" thickTop="1" thickBot="1" x14ac:dyDescent="0.3">
      <c r="A99" s="19" t="s">
        <v>84</v>
      </c>
      <c r="B99" s="4">
        <v>0.68210000000000004</v>
      </c>
      <c r="C99" s="20">
        <v>0.61829999999999996</v>
      </c>
      <c r="D99" s="22">
        <v>8</v>
      </c>
      <c r="E99" s="22">
        <v>21</v>
      </c>
      <c r="F99" s="22">
        <v>18</v>
      </c>
      <c r="G99" s="22">
        <v>20</v>
      </c>
      <c r="J99" t="s">
        <v>380</v>
      </c>
      <c r="M99" s="4"/>
    </row>
    <row r="100" spans="1:13" ht="16.5" thickTop="1" thickBot="1" x14ac:dyDescent="0.3">
      <c r="A100" s="19" t="s">
        <v>85</v>
      </c>
      <c r="B100" s="4">
        <v>0.70979999999999999</v>
      </c>
      <c r="C100" s="27"/>
      <c r="D100" s="28"/>
      <c r="E100" s="28"/>
      <c r="F100" s="28"/>
      <c r="G100" s="28"/>
      <c r="H100" t="s">
        <v>380</v>
      </c>
      <c r="M100" s="4"/>
    </row>
    <row r="101" spans="1:13" ht="16.5" thickTop="1" thickBot="1" x14ac:dyDescent="0.3">
      <c r="A101" s="19" t="s">
        <v>86</v>
      </c>
      <c r="B101" s="4">
        <v>0.69079999999999997</v>
      </c>
      <c r="C101" s="20">
        <v>0.58950000000000002</v>
      </c>
      <c r="D101" s="22">
        <v>4</v>
      </c>
      <c r="E101" s="22">
        <v>27</v>
      </c>
      <c r="F101" s="22">
        <v>15</v>
      </c>
      <c r="G101" s="22">
        <v>21</v>
      </c>
      <c r="J101" t="s">
        <v>380</v>
      </c>
      <c r="M101" s="4"/>
    </row>
    <row r="102" spans="1:13" ht="16.5" thickTop="1" thickBot="1" x14ac:dyDescent="0.3">
      <c r="A102" s="19" t="s">
        <v>87</v>
      </c>
      <c r="B102" s="4">
        <v>0.68369999999999997</v>
      </c>
      <c r="C102" s="20">
        <v>0.82098765432098697</v>
      </c>
      <c r="D102" s="28"/>
      <c r="E102" s="28"/>
      <c r="F102" s="28"/>
      <c r="G102" s="28"/>
      <c r="I102" t="s">
        <v>380</v>
      </c>
      <c r="M102" s="4"/>
    </row>
    <row r="103" spans="1:13" ht="16.5" thickTop="1" thickBot="1" x14ac:dyDescent="0.3">
      <c r="A103" s="19" t="s">
        <v>88</v>
      </c>
      <c r="B103" s="4">
        <v>0.84619999999999995</v>
      </c>
      <c r="C103" s="27"/>
      <c r="D103" s="28"/>
      <c r="E103" s="28"/>
      <c r="F103" s="28"/>
      <c r="G103" s="28"/>
      <c r="H103" t="s">
        <v>380</v>
      </c>
      <c r="M103" s="4"/>
    </row>
    <row r="104" spans="1:13" ht="16.5" thickTop="1" thickBot="1" x14ac:dyDescent="0.3">
      <c r="A104" s="19" t="s">
        <v>89</v>
      </c>
      <c r="B104" s="4">
        <v>0.66339999999999999</v>
      </c>
      <c r="C104" s="20">
        <v>0.57930000000000004</v>
      </c>
      <c r="D104" s="22">
        <v>11</v>
      </c>
      <c r="E104" s="22">
        <v>19</v>
      </c>
      <c r="F104" s="22">
        <v>22</v>
      </c>
      <c r="G104" s="22">
        <v>16</v>
      </c>
      <c r="J104" t="s">
        <v>380</v>
      </c>
      <c r="M104" s="4"/>
    </row>
    <row r="105" spans="1:13" ht="16.5" thickTop="1" thickBot="1" x14ac:dyDescent="0.3">
      <c r="A105" s="19" t="s">
        <v>91</v>
      </c>
      <c r="B105" s="4">
        <v>0.95469999999999999</v>
      </c>
      <c r="C105" s="27"/>
      <c r="D105" s="28"/>
      <c r="E105" s="28"/>
      <c r="F105" s="28"/>
      <c r="G105" s="28"/>
      <c r="H105" t="s">
        <v>380</v>
      </c>
      <c r="M105" s="4"/>
    </row>
    <row r="106" spans="1:13" ht="16.5" thickTop="1" thickBot="1" x14ac:dyDescent="0.3">
      <c r="A106" s="19" t="s">
        <v>92</v>
      </c>
      <c r="B106" s="4">
        <v>0.70940000000000003</v>
      </c>
      <c r="C106" s="27"/>
      <c r="D106" s="28"/>
      <c r="E106" s="28"/>
      <c r="F106" s="28"/>
      <c r="G106" s="28"/>
      <c r="H106" t="s">
        <v>380</v>
      </c>
      <c r="M106" s="4"/>
    </row>
    <row r="107" spans="1:13" ht="16.5" thickTop="1" thickBot="1" x14ac:dyDescent="0.3">
      <c r="A107" s="19" t="s">
        <v>93</v>
      </c>
      <c r="B107" s="4">
        <v>0.43869999999999998</v>
      </c>
      <c r="C107" s="20">
        <v>0.56209150326797297</v>
      </c>
      <c r="D107" s="22">
        <v>19</v>
      </c>
      <c r="E107" s="22">
        <v>38</v>
      </c>
      <c r="F107" s="22">
        <v>29</v>
      </c>
      <c r="G107" s="22">
        <v>35</v>
      </c>
      <c r="J107" t="s">
        <v>380</v>
      </c>
      <c r="M107" s="4"/>
    </row>
    <row r="108" spans="1:13" ht="15.75" thickTop="1" x14ac:dyDescent="0.25"/>
  </sheetData>
  <conditionalFormatting sqref="B2:B32">
    <cfRule type="cellIs" dxfId="76" priority="9" operator="greaterThan">
      <formula>$B$35</formula>
    </cfRule>
    <cfRule type="cellIs" dxfId="75" priority="10" operator="lessThan">
      <formula>$B$34</formula>
    </cfRule>
  </conditionalFormatting>
  <conditionalFormatting sqref="B38:B107">
    <cfRule type="cellIs" dxfId="74" priority="5" operator="lessThan">
      <formula>$B$34</formula>
    </cfRule>
    <cfRule type="cellIs" dxfId="73" priority="6" operator="greaterThan">
      <formula>$B$35</formula>
    </cfRule>
  </conditionalFormatting>
  <conditionalFormatting sqref="C2 C6:C10 C16 C28:C32 C12 C18:C19 C22">
    <cfRule type="cellIs" dxfId="72" priority="3" operator="greaterThan">
      <formula>$C$35</formula>
    </cfRule>
    <cfRule type="cellIs" dxfId="71" priority="4" operator="lessThan">
      <formula>$C$34</formula>
    </cfRule>
  </conditionalFormatting>
  <conditionalFormatting sqref="C39:C41 C107 C104 C45:C46 C51 C58 C77 C84 C86:C88 C92 C99 C43 C48:C49 C60:C74 C79 C95 C101:C102 C53:C54">
    <cfRule type="cellIs" dxfId="70" priority="1" operator="greaterThan">
      <formula>$C$35</formula>
    </cfRule>
    <cfRule type="cellIs" dxfId="69" priority="2" operator="lessThan">
      <formula>$C$34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V108"/>
  <sheetViews>
    <sheetView tabSelected="1" topLeftCell="J16" zoomScale="70" zoomScaleNormal="70" workbookViewId="0">
      <selection activeCell="X27" sqref="X27"/>
    </sheetView>
  </sheetViews>
  <sheetFormatPr baseColWidth="10" defaultColWidth="10.85546875" defaultRowHeight="15" x14ac:dyDescent="0.25"/>
  <cols>
    <col min="1" max="1" width="19.42578125" style="32" customWidth="1"/>
    <col min="2" max="2" width="17.85546875" style="32" customWidth="1"/>
    <col min="3" max="4" width="17.140625" style="32" customWidth="1"/>
    <col min="5" max="5" width="16.85546875" style="32" customWidth="1"/>
    <col min="6" max="6" width="17.42578125" style="32" customWidth="1"/>
    <col min="7" max="7" width="17.28515625" style="32" customWidth="1"/>
    <col min="8" max="8" width="16.85546875" style="32" customWidth="1"/>
    <col min="9" max="9" width="18" style="32" customWidth="1"/>
    <col min="10" max="10" width="17.140625" style="32" customWidth="1"/>
    <col min="11" max="11" width="19.140625" style="32" customWidth="1"/>
    <col min="12" max="12" width="18.85546875" style="32" customWidth="1"/>
    <col min="13" max="13" width="18.42578125" style="32" customWidth="1"/>
    <col min="14" max="14" width="16.5703125" style="32" customWidth="1"/>
    <col min="15" max="15" width="15.7109375" style="32" customWidth="1"/>
    <col min="16" max="16" width="16.28515625" style="32" customWidth="1"/>
    <col min="17" max="17" width="15.85546875" style="32" customWidth="1"/>
    <col min="18" max="18" width="15.140625" style="32" customWidth="1"/>
    <col min="19" max="19" width="16.85546875" style="32" customWidth="1"/>
    <col min="20" max="20" width="15.42578125" style="32" customWidth="1"/>
    <col min="21" max="21" width="18" style="32" customWidth="1"/>
    <col min="22" max="22" width="15.42578125" style="32" customWidth="1"/>
    <col min="23" max="16384" width="10.85546875" style="32"/>
  </cols>
  <sheetData>
    <row r="1" spans="1:20" ht="16.5" thickTop="1" thickBot="1" x14ac:dyDescent="0.3">
      <c r="A1" s="31" t="s">
        <v>137</v>
      </c>
      <c r="B1" s="31" t="s">
        <v>142</v>
      </c>
      <c r="C1" s="31" t="s">
        <v>0</v>
      </c>
      <c r="D1" s="31" t="s">
        <v>1</v>
      </c>
      <c r="E1" s="31" t="s">
        <v>2</v>
      </c>
      <c r="F1" s="31" t="s">
        <v>3</v>
      </c>
      <c r="G1" s="31" t="s">
        <v>4</v>
      </c>
      <c r="J1" s="51" t="s">
        <v>389</v>
      </c>
      <c r="K1" s="52"/>
      <c r="L1" s="53"/>
      <c r="O1" s="8" t="s">
        <v>407</v>
      </c>
      <c r="P1" s="8"/>
      <c r="Q1" s="8"/>
      <c r="R1"/>
      <c r="S1"/>
      <c r="T1"/>
    </row>
    <row r="2" spans="1:20" ht="16.5" thickTop="1" thickBot="1" x14ac:dyDescent="0.3">
      <c r="A2" s="33" t="s">
        <v>12</v>
      </c>
      <c r="B2" s="32">
        <v>0.6734</v>
      </c>
      <c r="C2" s="34">
        <v>0.68229166666666596</v>
      </c>
      <c r="D2" s="35">
        <v>32</v>
      </c>
      <c r="E2" s="35">
        <v>29</v>
      </c>
      <c r="F2" s="35">
        <v>28</v>
      </c>
      <c r="G2" s="35">
        <v>35</v>
      </c>
      <c r="H2" s="32" t="s">
        <v>391</v>
      </c>
      <c r="J2" s="35" t="s">
        <v>384</v>
      </c>
      <c r="K2" s="32">
        <v>0</v>
      </c>
      <c r="L2" s="32">
        <v>0.25</v>
      </c>
      <c r="O2" s="11"/>
      <c r="P2" s="11"/>
      <c r="Q2" s="11"/>
      <c r="R2"/>
      <c r="S2"/>
      <c r="T2"/>
    </row>
    <row r="3" spans="1:20" ht="16.5" thickTop="1" thickBot="1" x14ac:dyDescent="0.3">
      <c r="A3" s="33" t="s">
        <v>13</v>
      </c>
      <c r="B3" s="32">
        <v>0.30969999999999998</v>
      </c>
      <c r="C3" s="34">
        <v>0.54193548387096702</v>
      </c>
      <c r="D3" s="35">
        <v>36</v>
      </c>
      <c r="E3" s="35">
        <v>35</v>
      </c>
      <c r="F3" s="35">
        <v>36</v>
      </c>
      <c r="G3" s="35">
        <v>32</v>
      </c>
      <c r="H3" s="32" t="s">
        <v>391</v>
      </c>
      <c r="J3" s="39" t="s">
        <v>385</v>
      </c>
      <c r="K3" s="32">
        <f>L2</f>
        <v>0.25</v>
      </c>
      <c r="L3" s="32">
        <v>0.4</v>
      </c>
      <c r="O3" s="11"/>
      <c r="P3" s="13">
        <v>0</v>
      </c>
      <c r="Q3" s="13">
        <v>1</v>
      </c>
      <c r="R3"/>
      <c r="S3"/>
      <c r="T3"/>
    </row>
    <row r="4" spans="1:20" ht="16.5" thickTop="1" thickBot="1" x14ac:dyDescent="0.3">
      <c r="A4" s="33" t="s">
        <v>14</v>
      </c>
      <c r="B4" s="32">
        <v>0.21870000000000001</v>
      </c>
      <c r="C4" s="34">
        <v>0.53658536585365801</v>
      </c>
      <c r="D4" s="35">
        <v>40</v>
      </c>
      <c r="E4" s="35">
        <v>36</v>
      </c>
      <c r="F4" s="35">
        <v>40</v>
      </c>
      <c r="G4" s="35">
        <v>39</v>
      </c>
      <c r="H4" s="32" t="s">
        <v>391</v>
      </c>
      <c r="J4" s="40" t="s">
        <v>386</v>
      </c>
      <c r="K4" s="32">
        <f>L3</f>
        <v>0.4</v>
      </c>
      <c r="L4" s="32">
        <v>0.7</v>
      </c>
      <c r="O4" s="13">
        <v>0</v>
      </c>
      <c r="P4" s="14">
        <f>COUNTIF(H2:H32,"=H")</f>
        <v>26</v>
      </c>
      <c r="Q4" s="14">
        <f>31-P4</f>
        <v>5</v>
      </c>
      <c r="R4"/>
      <c r="S4"/>
      <c r="T4"/>
    </row>
    <row r="5" spans="1:20" ht="16.5" thickTop="1" thickBot="1" x14ac:dyDescent="0.3">
      <c r="A5" s="33" t="s">
        <v>18</v>
      </c>
      <c r="B5" s="32">
        <v>0.3967</v>
      </c>
      <c r="C5" s="34">
        <v>0.60606060606060597</v>
      </c>
      <c r="D5" s="35">
        <v>94</v>
      </c>
      <c r="E5" s="35">
        <v>29</v>
      </c>
      <c r="F5" s="35">
        <v>16</v>
      </c>
      <c r="G5" s="35">
        <v>28</v>
      </c>
      <c r="H5" s="32" t="s">
        <v>391</v>
      </c>
      <c r="J5" s="41" t="s">
        <v>387</v>
      </c>
      <c r="K5" s="32">
        <f>L4</f>
        <v>0.7</v>
      </c>
      <c r="L5" s="32">
        <v>0.9</v>
      </c>
      <c r="O5" s="13">
        <v>1</v>
      </c>
      <c r="P5" s="14">
        <f>70-Q5</f>
        <v>1</v>
      </c>
      <c r="Q5" s="14">
        <f>COUNTIF(H38:H107,"=G")</f>
        <v>69</v>
      </c>
      <c r="R5"/>
      <c r="S5"/>
      <c r="T5"/>
    </row>
    <row r="6" spans="1:20" ht="16.5" thickTop="1" thickBot="1" x14ac:dyDescent="0.3">
      <c r="A6" s="33" t="s">
        <v>22</v>
      </c>
      <c r="B6" s="32">
        <v>0.49209999999999998</v>
      </c>
      <c r="C6" s="34">
        <v>0.553459119496855</v>
      </c>
      <c r="D6" s="35">
        <v>41</v>
      </c>
      <c r="E6" s="35">
        <v>40</v>
      </c>
      <c r="F6" s="35">
        <v>36</v>
      </c>
      <c r="G6" s="35">
        <v>31</v>
      </c>
      <c r="H6" s="32" t="s">
        <v>391</v>
      </c>
      <c r="J6" s="36" t="s">
        <v>388</v>
      </c>
      <c r="K6" s="32">
        <f>L5</f>
        <v>0.9</v>
      </c>
      <c r="L6" s="32">
        <v>1</v>
      </c>
      <c r="O6"/>
      <c r="P6"/>
      <c r="Q6"/>
      <c r="R6"/>
      <c r="S6"/>
      <c r="T6"/>
    </row>
    <row r="7" spans="1:20" ht="16.5" thickTop="1" thickBot="1" x14ac:dyDescent="0.3">
      <c r="A7" s="33" t="s">
        <v>23</v>
      </c>
      <c r="B7" s="32">
        <v>0.40970000000000001</v>
      </c>
      <c r="C7" s="34">
        <v>0.54901960784313697</v>
      </c>
      <c r="D7" s="35">
        <v>31</v>
      </c>
      <c r="E7" s="35">
        <v>38</v>
      </c>
      <c r="F7" s="35">
        <v>21</v>
      </c>
      <c r="G7" s="35">
        <v>39</v>
      </c>
      <c r="H7" s="32" t="s">
        <v>391</v>
      </c>
      <c r="O7"/>
      <c r="P7"/>
      <c r="Q7"/>
      <c r="R7"/>
      <c r="S7"/>
      <c r="T7"/>
    </row>
    <row r="8" spans="1:20" ht="16.5" thickTop="1" thickBot="1" x14ac:dyDescent="0.3">
      <c r="A8" s="33" t="s">
        <v>38</v>
      </c>
      <c r="B8" s="32">
        <v>0.53839999999999999</v>
      </c>
      <c r="C8" s="34">
        <v>0.68820000000000003</v>
      </c>
      <c r="D8" s="35">
        <v>16</v>
      </c>
      <c r="E8" s="35">
        <v>34</v>
      </c>
      <c r="F8" s="35">
        <v>12</v>
      </c>
      <c r="G8" s="35">
        <v>25</v>
      </c>
      <c r="H8" s="32" t="s">
        <v>391</v>
      </c>
      <c r="O8" s="8" t="s">
        <v>108</v>
      </c>
      <c r="P8" s="8" t="s">
        <v>357</v>
      </c>
      <c r="Q8" s="8" t="s">
        <v>358</v>
      </c>
      <c r="R8" s="8" t="s">
        <v>359</v>
      </c>
      <c r="S8" s="8" t="s">
        <v>360</v>
      </c>
      <c r="T8" s="8" t="s">
        <v>361</v>
      </c>
    </row>
    <row r="9" spans="1:20" ht="16.5" thickTop="1" thickBot="1" x14ac:dyDescent="0.3">
      <c r="A9" s="33" t="s">
        <v>40</v>
      </c>
      <c r="B9" s="32">
        <v>0.69479999999999997</v>
      </c>
      <c r="C9" s="34">
        <v>0.68881987577639703</v>
      </c>
      <c r="D9" s="35">
        <v>45</v>
      </c>
      <c r="E9" s="35">
        <v>39</v>
      </c>
      <c r="F9" s="35">
        <v>16</v>
      </c>
      <c r="G9" s="35">
        <v>25</v>
      </c>
      <c r="H9" s="32" t="s">
        <v>391</v>
      </c>
      <c r="J9" s="4"/>
      <c r="K9" s="4"/>
      <c r="L9" s="4"/>
      <c r="O9">
        <f>(P4+Q5)/(P4+Q5+Q4+P5)</f>
        <v>0.94059405940594054</v>
      </c>
      <c r="P9">
        <f>Q5/(Q5+P5)</f>
        <v>0.98571428571428577</v>
      </c>
      <c r="Q9">
        <f>P4/(P4+Q4)</f>
        <v>0.83870967741935487</v>
      </c>
      <c r="R9">
        <f>Q5/(Q5+Q4)</f>
        <v>0.93243243243243246</v>
      </c>
      <c r="S9">
        <f>P4/(P4+P5)</f>
        <v>0.96296296296296291</v>
      </c>
      <c r="T9">
        <f>2*P9*R9/(P9+R9)</f>
        <v>0.95833333333333326</v>
      </c>
    </row>
    <row r="10" spans="1:20" ht="16.5" thickTop="1" thickBot="1" x14ac:dyDescent="0.3">
      <c r="A10" s="33" t="s">
        <v>41</v>
      </c>
      <c r="B10" s="32">
        <v>0.68</v>
      </c>
      <c r="C10" s="34">
        <v>0.72527472527472503</v>
      </c>
      <c r="D10" s="35">
        <v>27</v>
      </c>
      <c r="E10" s="35">
        <v>26</v>
      </c>
      <c r="F10" s="35">
        <v>24</v>
      </c>
      <c r="G10" s="35">
        <v>22</v>
      </c>
      <c r="H10" s="32" t="s">
        <v>391</v>
      </c>
      <c r="J10"/>
      <c r="K10" s="4"/>
      <c r="L10" s="4"/>
    </row>
    <row r="11" spans="1:20" ht="16.5" thickTop="1" thickBot="1" x14ac:dyDescent="0.3">
      <c r="A11" s="33" t="s">
        <v>42</v>
      </c>
      <c r="B11" s="32">
        <v>0.31090000000000001</v>
      </c>
      <c r="C11" s="34">
        <v>0.71241830065359402</v>
      </c>
      <c r="D11" s="36">
        <v>18</v>
      </c>
      <c r="E11" s="36">
        <v>26</v>
      </c>
      <c r="F11" s="36">
        <v>25</v>
      </c>
      <c r="G11" s="36">
        <v>24</v>
      </c>
      <c r="I11" s="32" t="s">
        <v>393</v>
      </c>
      <c r="J11"/>
      <c r="K11" s="4"/>
      <c r="L11" s="4"/>
    </row>
    <row r="12" spans="1:20" ht="16.5" thickTop="1" thickBot="1" x14ac:dyDescent="0.3">
      <c r="A12" s="33" t="s">
        <v>46</v>
      </c>
      <c r="B12" s="32">
        <v>0.47210000000000002</v>
      </c>
      <c r="C12" s="34">
        <v>0.56571428571428495</v>
      </c>
      <c r="D12" s="35">
        <v>43</v>
      </c>
      <c r="E12" s="35">
        <v>33</v>
      </c>
      <c r="F12" s="35">
        <v>38</v>
      </c>
      <c r="G12" s="35">
        <v>33</v>
      </c>
      <c r="H12" s="32" t="s">
        <v>391</v>
      </c>
      <c r="J12"/>
      <c r="K12" s="4"/>
      <c r="L12" s="4"/>
    </row>
    <row r="13" spans="1:20" ht="16.5" thickTop="1" thickBot="1" x14ac:dyDescent="0.3">
      <c r="A13" s="33" t="s">
        <v>47</v>
      </c>
      <c r="B13" s="32">
        <v>0.31890000000000002</v>
      </c>
      <c r="C13" s="34">
        <v>0.51461988304093498</v>
      </c>
      <c r="D13" s="35">
        <v>47</v>
      </c>
      <c r="E13" s="35">
        <v>36</v>
      </c>
      <c r="F13" s="35">
        <v>36</v>
      </c>
      <c r="G13" s="35">
        <v>45</v>
      </c>
      <c r="H13" s="32" t="s">
        <v>391</v>
      </c>
      <c r="J13"/>
      <c r="K13" s="4"/>
      <c r="L13" s="4"/>
    </row>
    <row r="14" spans="1:20" ht="16.5" thickTop="1" thickBot="1" x14ac:dyDescent="0.3">
      <c r="A14" s="33" t="s">
        <v>51</v>
      </c>
      <c r="B14" s="32">
        <v>0.1197</v>
      </c>
      <c r="C14" s="34">
        <v>0.54545454545454497</v>
      </c>
      <c r="D14" s="36">
        <v>32</v>
      </c>
      <c r="E14" s="36">
        <v>38</v>
      </c>
      <c r="F14" s="36">
        <v>39</v>
      </c>
      <c r="G14" s="36">
        <v>32</v>
      </c>
      <c r="H14" s="32" t="s">
        <v>391</v>
      </c>
      <c r="J14"/>
      <c r="K14" s="4"/>
      <c r="L14" s="4"/>
    </row>
    <row r="15" spans="1:20" ht="16.5" thickTop="1" thickBot="1" x14ac:dyDescent="0.3">
      <c r="A15" s="33" t="s">
        <v>52</v>
      </c>
      <c r="B15" s="32">
        <v>0.2006</v>
      </c>
      <c r="C15" s="34">
        <v>0.44966442953020103</v>
      </c>
      <c r="D15" s="35">
        <v>38</v>
      </c>
      <c r="E15" s="35">
        <v>44</v>
      </c>
      <c r="F15" s="35">
        <v>36</v>
      </c>
      <c r="G15" s="35">
        <v>34</v>
      </c>
      <c r="H15" s="32" t="s">
        <v>391</v>
      </c>
      <c r="Q15" s="51" t="s">
        <v>394</v>
      </c>
      <c r="R15" s="52"/>
      <c r="S15" s="53"/>
    </row>
    <row r="16" spans="1:20" ht="16.5" thickTop="1" thickBot="1" x14ac:dyDescent="0.3">
      <c r="A16" s="33" t="s">
        <v>62</v>
      </c>
      <c r="B16" s="32">
        <v>0.41849999999999998</v>
      </c>
      <c r="C16" s="34">
        <v>0.42970000000000003</v>
      </c>
      <c r="D16" s="36">
        <v>8</v>
      </c>
      <c r="E16" s="36">
        <v>42</v>
      </c>
      <c r="F16" s="36">
        <v>26</v>
      </c>
      <c r="G16" s="36">
        <v>30</v>
      </c>
      <c r="H16" s="32" t="s">
        <v>391</v>
      </c>
    </row>
    <row r="17" spans="1:22" ht="16.5" thickTop="1" thickBot="1" x14ac:dyDescent="0.3">
      <c r="A17" s="33" t="s">
        <v>77</v>
      </c>
      <c r="B17" s="32">
        <v>0.31090000000000001</v>
      </c>
      <c r="C17" s="34">
        <v>0.50310559006211097</v>
      </c>
      <c r="D17" s="35">
        <v>37</v>
      </c>
      <c r="E17" s="35">
        <v>43</v>
      </c>
      <c r="F17" s="35">
        <v>32</v>
      </c>
      <c r="G17" s="35">
        <v>35</v>
      </c>
      <c r="H17" s="32" t="s">
        <v>391</v>
      </c>
      <c r="J17" s="51" t="s">
        <v>390</v>
      </c>
      <c r="K17" s="52"/>
      <c r="L17" s="53"/>
    </row>
    <row r="18" spans="1:22" ht="16.5" thickTop="1" thickBot="1" x14ac:dyDescent="0.3">
      <c r="A18" s="33" t="s">
        <v>83</v>
      </c>
      <c r="B18" s="32">
        <v>0.62890000000000001</v>
      </c>
      <c r="C18" s="34">
        <v>0.59509202453987697</v>
      </c>
      <c r="D18" s="35">
        <v>34</v>
      </c>
      <c r="E18" s="35">
        <v>32</v>
      </c>
      <c r="F18" s="35">
        <v>32</v>
      </c>
      <c r="G18" s="35">
        <v>26</v>
      </c>
      <c r="H18" s="32" t="s">
        <v>391</v>
      </c>
      <c r="J18" s="35" t="s">
        <v>384</v>
      </c>
      <c r="K18" s="32">
        <v>0</v>
      </c>
      <c r="L18" s="32">
        <v>0.45</v>
      </c>
    </row>
    <row r="19" spans="1:22" ht="16.5" thickTop="1" thickBot="1" x14ac:dyDescent="0.3">
      <c r="A19" s="33" t="s">
        <v>90</v>
      </c>
      <c r="B19" s="32">
        <v>0.8831</v>
      </c>
      <c r="C19" s="34">
        <v>0.70348837209302295</v>
      </c>
      <c r="D19" s="35">
        <v>29</v>
      </c>
      <c r="E19" s="35">
        <v>22</v>
      </c>
      <c r="F19" s="35">
        <v>19</v>
      </c>
      <c r="G19" s="35">
        <v>27</v>
      </c>
      <c r="I19" s="32" t="s">
        <v>393</v>
      </c>
      <c r="J19" s="39" t="s">
        <v>385</v>
      </c>
      <c r="K19" s="32">
        <f>L18</f>
        <v>0.45</v>
      </c>
      <c r="L19" s="32">
        <v>0.6</v>
      </c>
      <c r="N19" s="30"/>
      <c r="O19" s="30"/>
      <c r="P19" s="30"/>
      <c r="Q19" s="30"/>
      <c r="R19" s="49" t="s">
        <v>397</v>
      </c>
      <c r="S19" s="30"/>
      <c r="T19" s="30"/>
      <c r="U19" s="30"/>
      <c r="V19" s="30"/>
    </row>
    <row r="20" spans="1:22" ht="16.5" thickTop="1" thickBot="1" x14ac:dyDescent="0.3">
      <c r="A20" s="33" t="s">
        <v>94</v>
      </c>
      <c r="B20" s="32">
        <v>0.21870000000000001</v>
      </c>
      <c r="C20" s="34">
        <v>0.43373493975903599</v>
      </c>
      <c r="D20" s="35">
        <v>46</v>
      </c>
      <c r="E20" s="35">
        <v>48</v>
      </c>
      <c r="F20" s="35">
        <v>47</v>
      </c>
      <c r="G20" s="35">
        <v>37</v>
      </c>
      <c r="H20" s="32" t="s">
        <v>391</v>
      </c>
      <c r="J20" s="38" t="s">
        <v>386</v>
      </c>
      <c r="K20" s="32">
        <f>L19</f>
        <v>0.6</v>
      </c>
      <c r="L20" s="32">
        <v>0.8</v>
      </c>
      <c r="N20" s="30" t="s">
        <v>395</v>
      </c>
      <c r="O20" s="30"/>
      <c r="P20" s="30" t="s">
        <v>395</v>
      </c>
      <c r="Q20" s="30"/>
      <c r="R20" s="30" t="s">
        <v>395</v>
      </c>
      <c r="S20" s="30"/>
      <c r="T20" s="30" t="s">
        <v>395</v>
      </c>
      <c r="U20" s="30"/>
      <c r="V20" s="30" t="s">
        <v>395</v>
      </c>
    </row>
    <row r="21" spans="1:22" ht="16.5" thickTop="1" thickBot="1" x14ac:dyDescent="0.3">
      <c r="A21" s="33" t="s">
        <v>95</v>
      </c>
      <c r="B21" s="32">
        <v>0.37080000000000002</v>
      </c>
      <c r="C21" s="34">
        <v>0.43113772455089799</v>
      </c>
      <c r="D21" s="35">
        <v>41</v>
      </c>
      <c r="E21" s="35">
        <v>54</v>
      </c>
      <c r="F21" s="35">
        <v>45</v>
      </c>
      <c r="G21" s="35">
        <v>42</v>
      </c>
      <c r="H21" s="32" t="s">
        <v>391</v>
      </c>
      <c r="J21" s="36" t="s">
        <v>387</v>
      </c>
      <c r="K21" s="32">
        <f>L20</f>
        <v>0.8</v>
      </c>
      <c r="L21" s="32">
        <v>1</v>
      </c>
      <c r="N21" s="42" t="s">
        <v>384</v>
      </c>
      <c r="O21" s="30"/>
      <c r="P21" s="43" t="s">
        <v>385</v>
      </c>
      <c r="Q21" s="30"/>
      <c r="R21" s="44" t="s">
        <v>386</v>
      </c>
      <c r="S21" s="30"/>
      <c r="T21" s="45" t="s">
        <v>387</v>
      </c>
      <c r="U21" s="30"/>
      <c r="V21" s="46" t="s">
        <v>388</v>
      </c>
    </row>
    <row r="22" spans="1:22" ht="16.5" thickTop="1" thickBot="1" x14ac:dyDescent="0.3">
      <c r="A22" s="33" t="s">
        <v>96</v>
      </c>
      <c r="B22" s="32">
        <v>0.42670000000000002</v>
      </c>
      <c r="C22" s="34">
        <v>0.48979591836734598</v>
      </c>
      <c r="D22" s="36">
        <v>32</v>
      </c>
      <c r="E22" s="36">
        <v>43</v>
      </c>
      <c r="F22" s="36">
        <v>35</v>
      </c>
      <c r="G22" s="36">
        <v>37</v>
      </c>
      <c r="I22" s="32" t="s">
        <v>393</v>
      </c>
      <c r="N22" s="30"/>
      <c r="O22" s="30"/>
      <c r="P22" s="30"/>
      <c r="Q22" s="30"/>
      <c r="R22" s="30"/>
      <c r="S22" s="30"/>
      <c r="T22" s="30"/>
      <c r="U22" s="30"/>
      <c r="V22" s="30"/>
    </row>
    <row r="23" spans="1:22" ht="16.5" thickTop="1" thickBot="1" x14ac:dyDescent="0.3">
      <c r="A23" s="33" t="s">
        <v>97</v>
      </c>
      <c r="B23" s="32">
        <v>0.26079999999999998</v>
      </c>
      <c r="C23" s="34">
        <v>0.49397590361445698</v>
      </c>
      <c r="D23" s="35">
        <v>38</v>
      </c>
      <c r="E23" s="35">
        <v>46</v>
      </c>
      <c r="F23" s="35">
        <v>49</v>
      </c>
      <c r="G23" s="35">
        <v>24</v>
      </c>
      <c r="H23" s="32" t="s">
        <v>391</v>
      </c>
      <c r="N23" s="30" t="s">
        <v>395</v>
      </c>
      <c r="O23" s="30"/>
      <c r="P23" s="30" t="s">
        <v>395</v>
      </c>
      <c r="Q23" s="30"/>
      <c r="R23" s="30" t="s">
        <v>395</v>
      </c>
      <c r="S23" s="30"/>
      <c r="T23" s="30" t="s">
        <v>395</v>
      </c>
      <c r="U23" s="30"/>
      <c r="V23" s="30" t="s">
        <v>395</v>
      </c>
    </row>
    <row r="24" spans="1:22" ht="16.5" thickTop="1" thickBot="1" x14ac:dyDescent="0.3">
      <c r="A24" s="33" t="s">
        <v>98</v>
      </c>
      <c r="B24" s="32">
        <v>0.27929999999999999</v>
      </c>
      <c r="C24" s="34">
        <v>0.47169811320754701</v>
      </c>
      <c r="D24" s="36">
        <v>48</v>
      </c>
      <c r="E24" s="36">
        <v>46</v>
      </c>
      <c r="F24" s="36">
        <v>43</v>
      </c>
      <c r="G24" s="36">
        <v>39</v>
      </c>
      <c r="H24" s="32" t="s">
        <v>391</v>
      </c>
      <c r="N24" s="30"/>
      <c r="O24" s="30"/>
      <c r="P24" s="30"/>
      <c r="Q24" s="30"/>
      <c r="R24" s="30"/>
      <c r="S24" s="30"/>
      <c r="T24" s="30"/>
      <c r="U24" s="30"/>
      <c r="V24" s="30"/>
    </row>
    <row r="25" spans="1:22" ht="16.5" thickTop="1" thickBot="1" x14ac:dyDescent="0.3">
      <c r="A25" s="33" t="s">
        <v>99</v>
      </c>
      <c r="B25" s="32">
        <v>0.1439</v>
      </c>
      <c r="C25" s="34">
        <v>0.39333333333333298</v>
      </c>
      <c r="D25" s="35">
        <v>35</v>
      </c>
      <c r="E25" s="35">
        <v>56</v>
      </c>
      <c r="F25" s="35">
        <v>41</v>
      </c>
      <c r="G25" s="35">
        <v>34</v>
      </c>
      <c r="H25" s="32" t="s">
        <v>391</v>
      </c>
      <c r="N25" s="30" t="s">
        <v>379</v>
      </c>
      <c r="O25" s="30"/>
      <c r="P25" s="49" t="s">
        <v>121</v>
      </c>
      <c r="Q25" s="30"/>
      <c r="R25" s="30" t="s">
        <v>395</v>
      </c>
      <c r="S25" s="30"/>
      <c r="T25" s="49" t="s">
        <v>398</v>
      </c>
      <c r="U25" s="30"/>
      <c r="V25" s="30" t="s">
        <v>380</v>
      </c>
    </row>
    <row r="26" spans="1:22" ht="16.5" thickTop="1" thickBot="1" x14ac:dyDescent="0.3">
      <c r="A26" s="33" t="s">
        <v>100</v>
      </c>
      <c r="B26" s="32">
        <v>0.37240000000000001</v>
      </c>
      <c r="C26" s="34">
        <v>0.47019867549668798</v>
      </c>
      <c r="D26" s="35">
        <v>40</v>
      </c>
      <c r="E26" s="35">
        <v>40</v>
      </c>
      <c r="F26" s="35">
        <v>37</v>
      </c>
      <c r="G26" s="35">
        <v>42</v>
      </c>
      <c r="H26" s="32" t="s">
        <v>391</v>
      </c>
      <c r="N26" s="30"/>
      <c r="O26" s="47" t="s">
        <v>396</v>
      </c>
      <c r="P26" s="30" t="s">
        <v>395</v>
      </c>
      <c r="Q26" s="30"/>
      <c r="R26" s="30"/>
      <c r="S26" s="30"/>
      <c r="T26" s="30" t="s">
        <v>395</v>
      </c>
      <c r="U26" s="48" t="s">
        <v>399</v>
      </c>
      <c r="V26" s="30"/>
    </row>
    <row r="27" spans="1:22" ht="16.5" thickTop="1" thickBot="1" x14ac:dyDescent="0.3">
      <c r="A27" s="33" t="s">
        <v>101</v>
      </c>
      <c r="B27" s="32">
        <v>0.19869999999999999</v>
      </c>
      <c r="C27" s="34">
        <v>0.42567567567567499</v>
      </c>
      <c r="D27" s="36">
        <v>29</v>
      </c>
      <c r="E27" s="36">
        <v>56</v>
      </c>
      <c r="F27" s="36">
        <v>49</v>
      </c>
      <c r="G27" s="36">
        <v>35</v>
      </c>
      <c r="H27" s="32" t="s">
        <v>391</v>
      </c>
      <c r="N27" s="30"/>
      <c r="O27" s="30" t="s">
        <v>400</v>
      </c>
      <c r="P27" s="30" t="s">
        <v>401</v>
      </c>
      <c r="Q27" s="30"/>
      <c r="R27" s="30" t="s">
        <v>395</v>
      </c>
      <c r="S27" s="30"/>
      <c r="T27" s="42" t="s">
        <v>402</v>
      </c>
      <c r="U27" s="50" t="s">
        <v>405</v>
      </c>
      <c r="V27" s="30"/>
    </row>
    <row r="28" spans="1:22" ht="16.5" thickTop="1" thickBot="1" x14ac:dyDescent="0.3">
      <c r="A28" s="33" t="s">
        <v>102</v>
      </c>
      <c r="B28" s="32">
        <v>0.57299999999999995</v>
      </c>
      <c r="C28" s="34">
        <v>0.53763440860214995</v>
      </c>
      <c r="D28" s="35">
        <v>36</v>
      </c>
      <c r="E28" s="35">
        <v>50</v>
      </c>
      <c r="F28" s="35">
        <v>45</v>
      </c>
      <c r="G28" s="35">
        <v>36</v>
      </c>
      <c r="H28" s="32" t="s">
        <v>391</v>
      </c>
      <c r="N28" s="30"/>
      <c r="O28" s="30" t="s">
        <v>395</v>
      </c>
      <c r="P28" s="30" t="s">
        <v>395</v>
      </c>
      <c r="Q28" s="30"/>
      <c r="R28" s="30"/>
      <c r="S28" s="30"/>
      <c r="T28" s="43" t="s">
        <v>403</v>
      </c>
      <c r="U28" s="46" t="s">
        <v>404</v>
      </c>
      <c r="V28" s="30"/>
    </row>
    <row r="29" spans="1:22" ht="16.5" thickTop="1" thickBot="1" x14ac:dyDescent="0.3">
      <c r="A29" s="33" t="s">
        <v>103</v>
      </c>
      <c r="B29" s="32">
        <v>0.41160000000000002</v>
      </c>
      <c r="C29" s="34">
        <v>0.59782608695652095</v>
      </c>
      <c r="D29" s="35">
        <v>35</v>
      </c>
      <c r="E29" s="35">
        <v>39</v>
      </c>
      <c r="F29" s="35">
        <v>30</v>
      </c>
      <c r="G29" s="35">
        <v>47</v>
      </c>
      <c r="H29" s="32" t="s">
        <v>391</v>
      </c>
      <c r="N29" s="30"/>
      <c r="O29" s="30" t="s">
        <v>379</v>
      </c>
      <c r="P29" s="30" t="s">
        <v>380</v>
      </c>
      <c r="Q29" s="30"/>
      <c r="R29" s="30" t="s">
        <v>395</v>
      </c>
      <c r="S29" s="30"/>
      <c r="T29" s="30" t="s">
        <v>395</v>
      </c>
      <c r="U29" s="30" t="s">
        <v>395</v>
      </c>
      <c r="V29" s="30"/>
    </row>
    <row r="30" spans="1:22" ht="16.5" thickTop="1" thickBot="1" x14ac:dyDescent="0.3">
      <c r="A30" s="33" t="s">
        <v>104</v>
      </c>
      <c r="B30" s="32">
        <v>0.59409999999999996</v>
      </c>
      <c r="C30" s="34">
        <v>0.559782608695652</v>
      </c>
      <c r="D30" s="35">
        <v>48</v>
      </c>
      <c r="E30" s="35">
        <v>33</v>
      </c>
      <c r="F30" s="35">
        <v>29</v>
      </c>
      <c r="G30" s="35">
        <v>45</v>
      </c>
      <c r="H30" s="32" t="s">
        <v>391</v>
      </c>
      <c r="N30" s="30"/>
      <c r="O30" s="30"/>
      <c r="P30" s="30"/>
      <c r="Q30" s="30"/>
      <c r="R30" s="30"/>
      <c r="S30" s="30"/>
      <c r="T30" s="30" t="s">
        <v>379</v>
      </c>
      <c r="U30" s="30" t="s">
        <v>380</v>
      </c>
      <c r="V30" s="30"/>
    </row>
    <row r="31" spans="1:22" ht="16.5" thickTop="1" thickBot="1" x14ac:dyDescent="0.3">
      <c r="A31" s="33" t="s">
        <v>105</v>
      </c>
      <c r="B31" s="32">
        <v>0.79220000000000002</v>
      </c>
      <c r="C31" s="34">
        <v>0.93125000000000002</v>
      </c>
      <c r="D31" s="36">
        <v>38</v>
      </c>
      <c r="E31" s="36">
        <v>59</v>
      </c>
      <c r="F31" s="36">
        <v>48</v>
      </c>
      <c r="G31" s="36">
        <v>47</v>
      </c>
      <c r="I31" s="32" t="s">
        <v>393</v>
      </c>
      <c r="N31" s="30"/>
      <c r="O31" s="30"/>
      <c r="P31" s="30"/>
      <c r="Q31" s="30"/>
      <c r="R31" s="49" t="s">
        <v>398</v>
      </c>
      <c r="S31" s="30"/>
      <c r="T31" s="30"/>
      <c r="U31" s="30"/>
      <c r="V31" s="30"/>
    </row>
    <row r="32" spans="1:22" ht="16.5" thickTop="1" thickBot="1" x14ac:dyDescent="0.3">
      <c r="A32" s="33" t="s">
        <v>106</v>
      </c>
      <c r="B32" s="32">
        <v>0.67379999999999995</v>
      </c>
      <c r="C32" s="34">
        <v>0.82489999999999997</v>
      </c>
      <c r="D32" s="36">
        <v>36</v>
      </c>
      <c r="E32" s="36">
        <v>54</v>
      </c>
      <c r="F32" s="36">
        <v>42</v>
      </c>
      <c r="G32" s="36">
        <v>42</v>
      </c>
      <c r="I32" s="32" t="s">
        <v>393</v>
      </c>
      <c r="N32" s="30"/>
      <c r="O32" s="30"/>
      <c r="P32" s="30"/>
      <c r="Q32" s="30"/>
      <c r="R32" s="30"/>
      <c r="S32" s="30"/>
      <c r="T32" s="30"/>
      <c r="U32" s="30"/>
      <c r="V32" s="30"/>
    </row>
    <row r="33" spans="1:22" ht="15.75" thickTop="1" x14ac:dyDescent="0.25">
      <c r="N33" s="30"/>
      <c r="O33" s="30"/>
      <c r="P33" s="30" t="s">
        <v>395</v>
      </c>
      <c r="R33" s="30" t="s">
        <v>395</v>
      </c>
      <c r="T33" s="30" t="s">
        <v>395</v>
      </c>
      <c r="U33" s="30"/>
      <c r="V33" s="30"/>
    </row>
    <row r="34" spans="1:22" x14ac:dyDescent="0.25">
      <c r="N34" s="30"/>
      <c r="O34" s="30"/>
      <c r="U34" s="30"/>
      <c r="V34" s="30"/>
    </row>
    <row r="35" spans="1:22" x14ac:dyDescent="0.25">
      <c r="B35" s="37"/>
      <c r="N35" s="30"/>
      <c r="O35" s="30"/>
      <c r="P35" s="42" t="s">
        <v>384</v>
      </c>
      <c r="Q35" s="30"/>
      <c r="R35" s="43" t="s">
        <v>406</v>
      </c>
      <c r="S35" s="30"/>
      <c r="T35" s="46" t="s">
        <v>387</v>
      </c>
      <c r="U35" s="30"/>
      <c r="V35" s="30"/>
    </row>
    <row r="36" spans="1:22" ht="15.75" thickBot="1" x14ac:dyDescent="0.3">
      <c r="N36" s="30"/>
      <c r="O36" s="30"/>
      <c r="P36" s="30"/>
      <c r="Q36" s="30"/>
      <c r="R36" s="50" t="s">
        <v>386</v>
      </c>
      <c r="S36" s="30"/>
      <c r="T36" s="30"/>
      <c r="U36" s="30"/>
      <c r="V36" s="30"/>
    </row>
    <row r="37" spans="1:22" ht="16.5" thickTop="1" thickBot="1" x14ac:dyDescent="0.3">
      <c r="A37" s="31" t="s">
        <v>138</v>
      </c>
      <c r="B37" s="31" t="s">
        <v>142</v>
      </c>
      <c r="C37" s="31" t="s">
        <v>0</v>
      </c>
      <c r="D37" s="31" t="s">
        <v>1</v>
      </c>
      <c r="E37" s="31" t="s">
        <v>2</v>
      </c>
      <c r="F37" s="31" t="s">
        <v>3</v>
      </c>
      <c r="G37" s="31" t="s">
        <v>4</v>
      </c>
      <c r="J37" s="51" t="s">
        <v>389</v>
      </c>
      <c r="K37" s="52"/>
      <c r="L37" s="53"/>
      <c r="N37" s="30"/>
      <c r="O37" s="30"/>
      <c r="P37" s="30" t="s">
        <v>395</v>
      </c>
      <c r="Q37" s="30"/>
      <c r="R37" s="30" t="s">
        <v>395</v>
      </c>
      <c r="S37" s="30"/>
      <c r="T37" s="30" t="s">
        <v>395</v>
      </c>
      <c r="U37" s="30"/>
      <c r="V37" s="30"/>
    </row>
    <row r="38" spans="1:22" ht="16.5" thickTop="1" thickBot="1" x14ac:dyDescent="0.3">
      <c r="A38" s="33" t="s">
        <v>6</v>
      </c>
      <c r="B38" s="32">
        <v>0.75819999999999999</v>
      </c>
      <c r="C38" s="34">
        <v>0.820754716981132</v>
      </c>
      <c r="D38" s="35">
        <v>18</v>
      </c>
      <c r="E38" s="35">
        <v>20</v>
      </c>
      <c r="F38" s="35">
        <v>17</v>
      </c>
      <c r="G38" s="35">
        <v>20</v>
      </c>
      <c r="H38" s="32" t="s">
        <v>392</v>
      </c>
      <c r="J38" s="35" t="s">
        <v>384</v>
      </c>
      <c r="K38" s="32">
        <v>0</v>
      </c>
      <c r="L38" s="32">
        <v>0.25</v>
      </c>
      <c r="N38" s="30"/>
      <c r="O38" s="30"/>
      <c r="P38" s="30"/>
      <c r="Q38" s="30"/>
      <c r="R38" s="30"/>
      <c r="S38" s="30"/>
      <c r="T38" s="30"/>
      <c r="U38" s="30"/>
      <c r="V38" s="30"/>
    </row>
    <row r="39" spans="1:22" ht="16.5" thickTop="1" thickBot="1" x14ac:dyDescent="0.3">
      <c r="A39" s="33" t="s">
        <v>7</v>
      </c>
      <c r="B39" s="32">
        <v>0.6391</v>
      </c>
      <c r="C39" s="34">
        <v>0.75539568345323704</v>
      </c>
      <c r="D39" s="36">
        <v>8</v>
      </c>
      <c r="E39" s="36">
        <v>26</v>
      </c>
      <c r="F39" s="36">
        <v>20</v>
      </c>
      <c r="G39" s="36">
        <v>24</v>
      </c>
      <c r="H39" s="32" t="s">
        <v>392</v>
      </c>
      <c r="J39" s="39" t="s">
        <v>385</v>
      </c>
      <c r="K39" s="32">
        <f>L38</f>
        <v>0.25</v>
      </c>
      <c r="L39" s="32">
        <v>0.4</v>
      </c>
      <c r="N39" s="30"/>
      <c r="O39" s="30"/>
      <c r="P39" s="30" t="s">
        <v>379</v>
      </c>
      <c r="Q39" s="30"/>
      <c r="R39" s="49" t="s">
        <v>121</v>
      </c>
      <c r="S39" s="30"/>
      <c r="T39" s="30" t="s">
        <v>380</v>
      </c>
      <c r="U39" s="30"/>
      <c r="V39" s="30"/>
    </row>
    <row r="40" spans="1:22" ht="16.5" thickTop="1" thickBot="1" x14ac:dyDescent="0.3">
      <c r="A40" s="33" t="s">
        <v>8</v>
      </c>
      <c r="B40" s="32">
        <v>0.63039999999999996</v>
      </c>
      <c r="C40" s="34">
        <v>0.77777777777777701</v>
      </c>
      <c r="D40" s="36">
        <v>9</v>
      </c>
      <c r="E40" s="36">
        <v>27</v>
      </c>
      <c r="F40" s="36">
        <v>18</v>
      </c>
      <c r="G40" s="36">
        <v>37</v>
      </c>
      <c r="H40" s="32" t="s">
        <v>392</v>
      </c>
      <c r="J40" s="40" t="s">
        <v>386</v>
      </c>
      <c r="K40" s="32">
        <f>L39</f>
        <v>0.4</v>
      </c>
      <c r="L40" s="32">
        <v>0.7</v>
      </c>
      <c r="N40" s="30"/>
      <c r="O40" s="30"/>
      <c r="P40" s="30"/>
      <c r="Q40" s="47" t="s">
        <v>396</v>
      </c>
      <c r="R40" s="30"/>
      <c r="S40" s="48" t="s">
        <v>399</v>
      </c>
      <c r="T40" s="30"/>
      <c r="U40" s="30"/>
      <c r="V40" s="30"/>
    </row>
    <row r="41" spans="1:22" ht="16.5" thickTop="1" thickBot="1" x14ac:dyDescent="0.3">
      <c r="A41" s="33" t="s">
        <v>9</v>
      </c>
      <c r="B41" s="32">
        <v>0.68879999999999997</v>
      </c>
      <c r="C41" s="34">
        <v>0.6724</v>
      </c>
      <c r="D41" s="36">
        <v>5</v>
      </c>
      <c r="E41" s="36">
        <v>20</v>
      </c>
      <c r="F41" s="36">
        <v>12</v>
      </c>
      <c r="G41" s="36">
        <v>15</v>
      </c>
      <c r="H41" s="32" t="s">
        <v>392</v>
      </c>
      <c r="J41" s="41" t="s">
        <v>387</v>
      </c>
      <c r="K41" s="32">
        <f>L40</f>
        <v>0.7</v>
      </c>
      <c r="L41" s="32">
        <v>0.9</v>
      </c>
      <c r="N41" s="30"/>
      <c r="O41" s="30"/>
      <c r="P41" s="30"/>
      <c r="Q41" s="30" t="s">
        <v>400</v>
      </c>
      <c r="R41" s="30"/>
      <c r="S41" s="30" t="s">
        <v>401</v>
      </c>
      <c r="T41" s="30"/>
      <c r="U41" s="30"/>
      <c r="V41" s="30"/>
    </row>
    <row r="42" spans="1:22" ht="16.5" thickTop="1" thickBot="1" x14ac:dyDescent="0.3">
      <c r="A42" s="33" t="s">
        <v>10</v>
      </c>
      <c r="B42" s="32">
        <v>0.79469999999999996</v>
      </c>
      <c r="C42" s="34">
        <v>0.83555555555555505</v>
      </c>
      <c r="D42" s="35">
        <v>32</v>
      </c>
      <c r="E42" s="35">
        <v>25</v>
      </c>
      <c r="F42" s="35">
        <v>21</v>
      </c>
      <c r="G42" s="35">
        <v>24</v>
      </c>
      <c r="H42" s="32" t="s">
        <v>392</v>
      </c>
      <c r="J42" s="36" t="s">
        <v>388</v>
      </c>
      <c r="K42" s="32">
        <f>L41</f>
        <v>0.9</v>
      </c>
      <c r="L42" s="32">
        <v>1</v>
      </c>
      <c r="P42" s="30"/>
      <c r="Q42" s="30" t="s">
        <v>395</v>
      </c>
      <c r="R42" s="30"/>
      <c r="S42" s="30" t="s">
        <v>395</v>
      </c>
      <c r="T42" s="30"/>
    </row>
    <row r="43" spans="1:22" ht="16.5" thickTop="1" thickBot="1" x14ac:dyDescent="0.3">
      <c r="A43" s="33" t="s">
        <v>11</v>
      </c>
      <c r="B43" s="32">
        <v>0.3498</v>
      </c>
      <c r="C43" s="34">
        <v>0.59459459459459396</v>
      </c>
      <c r="D43" s="36">
        <v>34</v>
      </c>
      <c r="E43" s="36">
        <v>41</v>
      </c>
      <c r="F43" s="36">
        <v>36</v>
      </c>
      <c r="G43" s="36">
        <v>34</v>
      </c>
      <c r="H43" s="32" t="s">
        <v>392</v>
      </c>
      <c r="P43" s="30"/>
      <c r="Q43" s="30" t="s">
        <v>379</v>
      </c>
      <c r="R43" s="30"/>
      <c r="S43" s="30" t="s">
        <v>380</v>
      </c>
      <c r="T43" s="30"/>
    </row>
    <row r="44" spans="1:22" ht="16.5" thickTop="1" thickBot="1" x14ac:dyDescent="0.3">
      <c r="A44" s="33" t="s">
        <v>15</v>
      </c>
      <c r="B44" s="32">
        <v>0.82499999999999996</v>
      </c>
      <c r="C44" s="34">
        <v>0.85955056179775202</v>
      </c>
      <c r="D44" s="36">
        <v>26</v>
      </c>
      <c r="E44" s="36">
        <v>1</v>
      </c>
      <c r="F44" s="36">
        <v>8</v>
      </c>
      <c r="G44" s="36">
        <v>12</v>
      </c>
      <c r="H44" s="32" t="s">
        <v>392</v>
      </c>
    </row>
    <row r="45" spans="1:22" ht="16.5" thickTop="1" thickBot="1" x14ac:dyDescent="0.3">
      <c r="A45" s="33" t="s">
        <v>16</v>
      </c>
      <c r="B45" s="32">
        <v>0.64239999999999997</v>
      </c>
      <c r="C45" s="34">
        <v>0.77564102564102499</v>
      </c>
      <c r="D45" s="36">
        <v>15</v>
      </c>
      <c r="E45" s="36">
        <v>20</v>
      </c>
      <c r="F45" s="36">
        <v>22</v>
      </c>
      <c r="G45" s="36">
        <v>16</v>
      </c>
      <c r="H45" s="32" t="s">
        <v>392</v>
      </c>
    </row>
    <row r="46" spans="1:22" ht="16.5" thickTop="1" thickBot="1" x14ac:dyDescent="0.3">
      <c r="A46" s="33" t="s">
        <v>17</v>
      </c>
      <c r="B46" s="32">
        <v>0.67969999999999997</v>
      </c>
      <c r="C46" s="34">
        <v>0.87820512820512797</v>
      </c>
      <c r="D46" s="36">
        <v>6</v>
      </c>
      <c r="E46" s="36">
        <v>13</v>
      </c>
      <c r="F46" s="36">
        <v>16</v>
      </c>
      <c r="G46" s="36">
        <v>11</v>
      </c>
      <c r="H46" s="32" t="s">
        <v>392</v>
      </c>
    </row>
    <row r="47" spans="1:22" ht="16.5" thickTop="1" thickBot="1" x14ac:dyDescent="0.3">
      <c r="A47" s="33" t="s">
        <v>19</v>
      </c>
      <c r="B47" s="32">
        <v>0.71109999999999995</v>
      </c>
      <c r="C47" s="34">
        <v>0.85795454545454497</v>
      </c>
      <c r="D47" s="36">
        <v>10</v>
      </c>
      <c r="E47" s="36">
        <v>15</v>
      </c>
      <c r="F47" s="36">
        <v>14</v>
      </c>
      <c r="G47" s="36">
        <v>17</v>
      </c>
      <c r="H47" s="32" t="s">
        <v>392</v>
      </c>
    </row>
    <row r="48" spans="1:22" ht="16.5" thickTop="1" thickBot="1" x14ac:dyDescent="0.3">
      <c r="A48" s="33" t="s">
        <v>20</v>
      </c>
      <c r="B48" s="32">
        <v>0.69289999999999996</v>
      </c>
      <c r="C48" s="34">
        <v>0.89171974522292996</v>
      </c>
      <c r="D48" s="36">
        <v>5</v>
      </c>
      <c r="E48" s="36">
        <v>12</v>
      </c>
      <c r="F48" s="36">
        <v>21</v>
      </c>
      <c r="G48" s="36">
        <v>18</v>
      </c>
      <c r="H48" s="32" t="s">
        <v>392</v>
      </c>
    </row>
    <row r="49" spans="1:12" ht="16.5" thickTop="1" thickBot="1" x14ac:dyDescent="0.3">
      <c r="A49" s="33" t="s">
        <v>21</v>
      </c>
      <c r="B49" s="32">
        <v>0.57340000000000002</v>
      </c>
      <c r="C49" s="34">
        <v>0.63280000000000003</v>
      </c>
      <c r="D49" s="36">
        <v>2</v>
      </c>
      <c r="E49" s="36">
        <v>31</v>
      </c>
      <c r="F49" s="36">
        <v>18</v>
      </c>
      <c r="G49" s="36">
        <v>16</v>
      </c>
      <c r="H49" s="32" t="s">
        <v>392</v>
      </c>
    </row>
    <row r="50" spans="1:12" ht="16.5" thickTop="1" thickBot="1" x14ac:dyDescent="0.3">
      <c r="A50" s="33" t="s">
        <v>24</v>
      </c>
      <c r="B50" s="32">
        <v>0.81620000000000004</v>
      </c>
      <c r="C50" s="34">
        <v>0.85858585858585801</v>
      </c>
      <c r="D50" s="36">
        <v>4</v>
      </c>
      <c r="E50" s="36">
        <v>24</v>
      </c>
      <c r="F50" s="36">
        <v>25</v>
      </c>
      <c r="G50" s="36">
        <v>12</v>
      </c>
      <c r="H50" s="32" t="s">
        <v>392</v>
      </c>
    </row>
    <row r="51" spans="1:12" ht="16.5" thickTop="1" thickBot="1" x14ac:dyDescent="0.3">
      <c r="A51" s="33" t="s">
        <v>25</v>
      </c>
      <c r="B51" s="32">
        <v>0.63870000000000005</v>
      </c>
      <c r="C51" s="34">
        <v>0.79213483146067398</v>
      </c>
      <c r="D51" s="36">
        <v>20</v>
      </c>
      <c r="E51" s="36">
        <v>17</v>
      </c>
      <c r="F51" s="36">
        <v>13</v>
      </c>
      <c r="G51" s="36">
        <v>21</v>
      </c>
      <c r="H51" s="32" t="s">
        <v>392</v>
      </c>
    </row>
    <row r="52" spans="1:12" ht="16.5" thickTop="1" thickBot="1" x14ac:dyDescent="0.3">
      <c r="A52" s="33" t="s">
        <v>26</v>
      </c>
      <c r="B52" s="32">
        <v>0.72089999999999999</v>
      </c>
      <c r="C52" s="34">
        <v>0.84242424242424196</v>
      </c>
      <c r="D52" s="36">
        <v>8</v>
      </c>
      <c r="E52" s="36">
        <v>18</v>
      </c>
      <c r="F52" s="36">
        <v>15</v>
      </c>
      <c r="G52" s="36">
        <v>22</v>
      </c>
      <c r="H52" s="32" t="s">
        <v>392</v>
      </c>
    </row>
    <row r="53" spans="1:12" ht="16.5" thickTop="1" thickBot="1" x14ac:dyDescent="0.3">
      <c r="A53" s="33" t="s">
        <v>27</v>
      </c>
      <c r="B53" s="32">
        <v>0.49280000000000002</v>
      </c>
      <c r="C53" s="34">
        <v>0.45229999999999998</v>
      </c>
      <c r="D53" s="36">
        <v>24</v>
      </c>
      <c r="E53" s="36">
        <v>26</v>
      </c>
      <c r="F53" s="36">
        <v>25</v>
      </c>
      <c r="G53" s="36">
        <v>21</v>
      </c>
      <c r="H53" s="32" t="s">
        <v>392</v>
      </c>
      <c r="J53" s="51" t="s">
        <v>390</v>
      </c>
      <c r="K53" s="52"/>
      <c r="L53" s="53"/>
    </row>
    <row r="54" spans="1:12" ht="16.5" thickTop="1" thickBot="1" x14ac:dyDescent="0.3">
      <c r="A54" s="33" t="s">
        <v>28</v>
      </c>
      <c r="B54" s="32">
        <v>0.51600000000000001</v>
      </c>
      <c r="C54" s="34">
        <v>0.71482758620689602</v>
      </c>
      <c r="D54" s="36">
        <v>7</v>
      </c>
      <c r="E54" s="36">
        <v>30</v>
      </c>
      <c r="F54" s="36">
        <v>16</v>
      </c>
      <c r="G54" s="36">
        <v>20</v>
      </c>
      <c r="H54" s="32" t="s">
        <v>392</v>
      </c>
      <c r="J54" s="35" t="s">
        <v>384</v>
      </c>
      <c r="K54" s="32">
        <v>0</v>
      </c>
      <c r="L54" s="32">
        <v>0.45</v>
      </c>
    </row>
    <row r="55" spans="1:12" ht="16.5" thickTop="1" thickBot="1" x14ac:dyDescent="0.3">
      <c r="A55" s="33" t="s">
        <v>29</v>
      </c>
      <c r="B55" s="32">
        <v>0.70379999999999998</v>
      </c>
      <c r="C55" s="34">
        <v>0.73684210526315697</v>
      </c>
      <c r="D55" s="36">
        <v>17</v>
      </c>
      <c r="E55" s="36">
        <v>20</v>
      </c>
      <c r="F55" s="36">
        <v>18</v>
      </c>
      <c r="G55" s="36">
        <v>15</v>
      </c>
      <c r="H55" s="32" t="s">
        <v>392</v>
      </c>
      <c r="J55" s="39" t="s">
        <v>385</v>
      </c>
      <c r="K55" s="32">
        <f>L54</f>
        <v>0.45</v>
      </c>
      <c r="L55" s="32">
        <v>0.6</v>
      </c>
    </row>
    <row r="56" spans="1:12" ht="16.5" thickTop="1" thickBot="1" x14ac:dyDescent="0.3">
      <c r="A56" s="33" t="s">
        <v>30</v>
      </c>
      <c r="B56" s="32">
        <v>0.73440000000000005</v>
      </c>
      <c r="C56" s="34">
        <v>0.71005917159763299</v>
      </c>
      <c r="D56" s="35">
        <v>81</v>
      </c>
      <c r="E56" s="35">
        <v>32</v>
      </c>
      <c r="F56" s="35">
        <v>16</v>
      </c>
      <c r="G56" s="35">
        <v>15</v>
      </c>
      <c r="H56" s="32" t="s">
        <v>392</v>
      </c>
      <c r="J56" s="38" t="s">
        <v>386</v>
      </c>
      <c r="K56" s="32">
        <f>L55</f>
        <v>0.6</v>
      </c>
      <c r="L56" s="32">
        <v>0.8</v>
      </c>
    </row>
    <row r="57" spans="1:12" ht="16.5" thickTop="1" thickBot="1" x14ac:dyDescent="0.3">
      <c r="A57" s="33" t="s">
        <v>31</v>
      </c>
      <c r="B57" s="32">
        <v>0.95889999999999997</v>
      </c>
      <c r="C57" s="34">
        <v>0.86363636363636298</v>
      </c>
      <c r="D57" s="36">
        <v>6</v>
      </c>
      <c r="E57" s="36">
        <v>15</v>
      </c>
      <c r="F57" s="36">
        <v>13</v>
      </c>
      <c r="G57" s="36">
        <v>12</v>
      </c>
      <c r="H57" s="32" t="s">
        <v>392</v>
      </c>
      <c r="J57" s="36" t="s">
        <v>387</v>
      </c>
      <c r="K57" s="32">
        <f>L56</f>
        <v>0.8</v>
      </c>
      <c r="L57" s="32">
        <v>1</v>
      </c>
    </row>
    <row r="58" spans="1:12" ht="16.5" thickTop="1" thickBot="1" x14ac:dyDescent="0.3">
      <c r="A58" s="33" t="s">
        <v>32</v>
      </c>
      <c r="B58" s="32">
        <v>0.63219999999999998</v>
      </c>
      <c r="C58" s="34">
        <v>0.70322580645161203</v>
      </c>
      <c r="D58" s="36">
        <v>17</v>
      </c>
      <c r="E58" s="36">
        <v>29</v>
      </c>
      <c r="F58" s="36">
        <v>32</v>
      </c>
      <c r="G58" s="36">
        <v>18</v>
      </c>
      <c r="H58" s="32" t="s">
        <v>392</v>
      </c>
    </row>
    <row r="59" spans="1:12" ht="16.5" thickTop="1" thickBot="1" x14ac:dyDescent="0.3">
      <c r="A59" s="33" t="s">
        <v>33</v>
      </c>
      <c r="B59" s="32">
        <v>0.77410000000000001</v>
      </c>
      <c r="C59" s="34">
        <v>0.86928104575163401</v>
      </c>
      <c r="D59" s="36">
        <v>7</v>
      </c>
      <c r="E59" s="36">
        <v>13</v>
      </c>
      <c r="F59" s="36">
        <v>10</v>
      </c>
      <c r="G59" s="36">
        <v>16</v>
      </c>
      <c r="H59" s="32" t="s">
        <v>392</v>
      </c>
    </row>
    <row r="60" spans="1:12" ht="16.5" thickTop="1" thickBot="1" x14ac:dyDescent="0.3">
      <c r="A60" s="33" t="s">
        <v>34</v>
      </c>
      <c r="B60" s="32">
        <v>0.68569999999999998</v>
      </c>
      <c r="C60" s="34">
        <v>0.48309999999999997</v>
      </c>
      <c r="D60" s="36">
        <v>9</v>
      </c>
      <c r="E60" s="36">
        <v>28</v>
      </c>
      <c r="F60" s="36">
        <v>22</v>
      </c>
      <c r="G60" s="36">
        <v>13</v>
      </c>
      <c r="H60" s="32" t="s">
        <v>392</v>
      </c>
    </row>
    <row r="61" spans="1:12" ht="16.5" thickTop="1" thickBot="1" x14ac:dyDescent="0.3">
      <c r="A61" s="33" t="s">
        <v>35</v>
      </c>
      <c r="B61" s="32">
        <v>0.64590000000000003</v>
      </c>
      <c r="C61" s="34">
        <v>0.75722543352601102</v>
      </c>
      <c r="D61" s="36">
        <v>12</v>
      </c>
      <c r="E61" s="36">
        <v>30</v>
      </c>
      <c r="F61" s="36">
        <v>15</v>
      </c>
      <c r="G61" s="36">
        <v>22</v>
      </c>
      <c r="H61" s="32" t="s">
        <v>392</v>
      </c>
    </row>
    <row r="62" spans="1:12" ht="16.5" thickTop="1" thickBot="1" x14ac:dyDescent="0.3">
      <c r="A62" s="33" t="s">
        <v>36</v>
      </c>
      <c r="B62" s="32">
        <v>0.52370000000000005</v>
      </c>
      <c r="C62" s="34">
        <v>0.56790123456790098</v>
      </c>
      <c r="D62" s="36">
        <v>93</v>
      </c>
      <c r="E62" s="36">
        <v>23</v>
      </c>
      <c r="F62" s="36">
        <v>20</v>
      </c>
      <c r="G62" s="36">
        <v>28</v>
      </c>
      <c r="H62" s="32" t="s">
        <v>392</v>
      </c>
    </row>
    <row r="63" spans="1:12" ht="16.5" thickTop="1" thickBot="1" x14ac:dyDescent="0.3">
      <c r="A63" s="33" t="s">
        <v>37</v>
      </c>
      <c r="B63" s="32">
        <v>0.6946</v>
      </c>
      <c r="C63" s="34">
        <v>0.71162790697674405</v>
      </c>
      <c r="D63" s="36">
        <v>41</v>
      </c>
      <c r="E63" s="36">
        <v>21</v>
      </c>
      <c r="F63" s="36">
        <v>25</v>
      </c>
      <c r="G63" s="36">
        <v>22</v>
      </c>
      <c r="H63" s="32" t="s">
        <v>392</v>
      </c>
    </row>
    <row r="64" spans="1:12" ht="16.5" thickTop="1" thickBot="1" x14ac:dyDescent="0.3">
      <c r="A64" s="33" t="s">
        <v>39</v>
      </c>
      <c r="B64" s="32">
        <v>0.67249999999999999</v>
      </c>
      <c r="C64" s="34">
        <v>0.68390804597701105</v>
      </c>
      <c r="D64" s="36">
        <v>25</v>
      </c>
      <c r="E64" s="36">
        <v>30</v>
      </c>
      <c r="F64" s="36">
        <v>24</v>
      </c>
      <c r="G64" s="36">
        <v>25</v>
      </c>
      <c r="H64" s="32" t="s">
        <v>392</v>
      </c>
    </row>
    <row r="65" spans="1:9" ht="16.5" thickTop="1" thickBot="1" x14ac:dyDescent="0.3">
      <c r="A65" s="33" t="s">
        <v>43</v>
      </c>
      <c r="B65" s="32">
        <v>0.38640000000000002</v>
      </c>
      <c r="C65" s="34">
        <v>0.53669999999999995</v>
      </c>
      <c r="D65" s="35">
        <v>35</v>
      </c>
      <c r="E65" s="35">
        <v>29</v>
      </c>
      <c r="F65" s="35">
        <v>21</v>
      </c>
      <c r="G65" s="35">
        <v>26</v>
      </c>
      <c r="I65" s="32" t="s">
        <v>393</v>
      </c>
    </row>
    <row r="66" spans="1:9" ht="16.5" thickTop="1" thickBot="1" x14ac:dyDescent="0.3">
      <c r="A66" s="33" t="s">
        <v>44</v>
      </c>
      <c r="B66" s="32">
        <v>0.67410000000000003</v>
      </c>
      <c r="C66" s="34">
        <v>0.80898876404494302</v>
      </c>
      <c r="D66" s="36">
        <v>25</v>
      </c>
      <c r="E66" s="36">
        <v>9</v>
      </c>
      <c r="F66" s="36">
        <v>15</v>
      </c>
      <c r="G66" s="36">
        <v>22</v>
      </c>
      <c r="H66" s="32" t="s">
        <v>392</v>
      </c>
    </row>
    <row r="67" spans="1:9" ht="16.5" thickTop="1" thickBot="1" x14ac:dyDescent="0.3">
      <c r="A67" s="33" t="s">
        <v>45</v>
      </c>
      <c r="B67" s="32">
        <v>0.64939999999999998</v>
      </c>
      <c r="C67" s="34">
        <v>0.64780000000000004</v>
      </c>
      <c r="D67" s="36">
        <v>8</v>
      </c>
      <c r="E67" s="36">
        <v>21</v>
      </c>
      <c r="F67" s="36">
        <v>16</v>
      </c>
      <c r="G67" s="36">
        <v>20</v>
      </c>
      <c r="H67" s="32" t="s">
        <v>392</v>
      </c>
    </row>
    <row r="68" spans="1:9" ht="16.5" thickTop="1" thickBot="1" x14ac:dyDescent="0.3">
      <c r="A68" s="33" t="s">
        <v>48</v>
      </c>
      <c r="B68" s="32">
        <v>0.28739999999999999</v>
      </c>
      <c r="C68" s="34">
        <v>0.41689999999999999</v>
      </c>
      <c r="D68" s="36">
        <v>21</v>
      </c>
      <c r="E68" s="36">
        <v>13</v>
      </c>
      <c r="F68" s="36">
        <v>29</v>
      </c>
      <c r="G68" s="36">
        <v>17</v>
      </c>
      <c r="H68" s="32" t="s">
        <v>392</v>
      </c>
    </row>
    <row r="69" spans="1:9" ht="16.5" thickTop="1" thickBot="1" x14ac:dyDescent="0.3">
      <c r="A69" s="33" t="s">
        <v>49</v>
      </c>
      <c r="B69" s="32">
        <v>0.63839999999999997</v>
      </c>
      <c r="C69" s="34">
        <v>0.77160493827160404</v>
      </c>
      <c r="D69" s="36">
        <v>13</v>
      </c>
      <c r="E69" s="36">
        <v>19</v>
      </c>
      <c r="F69" s="36">
        <v>15</v>
      </c>
      <c r="G69" s="36">
        <v>22</v>
      </c>
      <c r="H69" s="32" t="s">
        <v>392</v>
      </c>
    </row>
    <row r="70" spans="1:9" ht="16.5" thickTop="1" thickBot="1" x14ac:dyDescent="0.3">
      <c r="A70" s="33" t="s">
        <v>50</v>
      </c>
      <c r="B70" s="32">
        <v>0.31879999999999997</v>
      </c>
      <c r="C70" s="34">
        <v>0.57534246575342396</v>
      </c>
      <c r="D70" s="36">
        <v>26</v>
      </c>
      <c r="E70" s="36">
        <v>36</v>
      </c>
      <c r="F70" s="36">
        <v>31</v>
      </c>
      <c r="G70" s="36">
        <v>31</v>
      </c>
      <c r="H70" s="32" t="s">
        <v>392</v>
      </c>
    </row>
    <row r="71" spans="1:9" ht="16.5" thickTop="1" thickBot="1" x14ac:dyDescent="0.3">
      <c r="A71" s="33" t="s">
        <v>53</v>
      </c>
      <c r="B71" s="32">
        <v>0.64890000000000003</v>
      </c>
      <c r="C71" s="34">
        <v>0.75</v>
      </c>
      <c r="D71" s="36">
        <v>14</v>
      </c>
      <c r="E71" s="36">
        <v>34</v>
      </c>
      <c r="F71" s="36">
        <v>29</v>
      </c>
      <c r="G71" s="36">
        <v>33</v>
      </c>
      <c r="H71" s="32" t="s">
        <v>392</v>
      </c>
    </row>
    <row r="72" spans="1:9" ht="16.5" thickTop="1" thickBot="1" x14ac:dyDescent="0.3">
      <c r="A72" s="33" t="s">
        <v>54</v>
      </c>
      <c r="B72" s="32">
        <v>0.6421</v>
      </c>
      <c r="C72" s="34">
        <v>0.69740000000000002</v>
      </c>
      <c r="D72" s="36">
        <v>12</v>
      </c>
      <c r="E72" s="36">
        <v>32</v>
      </c>
      <c r="F72" s="36">
        <v>16</v>
      </c>
      <c r="G72" s="36">
        <v>32</v>
      </c>
      <c r="H72" s="32" t="s">
        <v>392</v>
      </c>
    </row>
    <row r="73" spans="1:9" ht="16.5" thickTop="1" thickBot="1" x14ac:dyDescent="0.3">
      <c r="A73" s="33" t="s">
        <v>55</v>
      </c>
      <c r="B73" s="32">
        <v>0.63219999999999998</v>
      </c>
      <c r="C73" s="34">
        <v>0.64370000000000005</v>
      </c>
      <c r="D73" s="36">
        <v>6</v>
      </c>
      <c r="E73" s="36">
        <v>30</v>
      </c>
      <c r="F73" s="36">
        <v>16</v>
      </c>
      <c r="G73" s="36">
        <v>21</v>
      </c>
      <c r="H73" s="32" t="s">
        <v>392</v>
      </c>
    </row>
    <row r="74" spans="1:9" ht="16.5" thickTop="1" thickBot="1" x14ac:dyDescent="0.3">
      <c r="A74" s="33" t="s">
        <v>56</v>
      </c>
      <c r="B74" s="32">
        <v>0.5635</v>
      </c>
      <c r="C74" s="34">
        <v>0.49530000000000002</v>
      </c>
      <c r="D74" s="36">
        <v>15</v>
      </c>
      <c r="E74" s="36">
        <v>30</v>
      </c>
      <c r="F74" s="36">
        <v>18</v>
      </c>
      <c r="G74" s="36">
        <v>15</v>
      </c>
      <c r="H74" s="32" t="s">
        <v>392</v>
      </c>
    </row>
    <row r="75" spans="1:9" ht="16.5" thickTop="1" thickBot="1" x14ac:dyDescent="0.3">
      <c r="A75" s="33" t="s">
        <v>57</v>
      </c>
      <c r="B75" s="32">
        <v>0.74980000000000002</v>
      </c>
      <c r="C75" s="34">
        <v>0.71348314606741503</v>
      </c>
      <c r="D75" s="36">
        <v>18</v>
      </c>
      <c r="E75" s="36">
        <v>33</v>
      </c>
      <c r="F75" s="36">
        <v>30</v>
      </c>
      <c r="G75" s="36">
        <v>26</v>
      </c>
      <c r="H75" s="32" t="s">
        <v>392</v>
      </c>
    </row>
    <row r="76" spans="1:9" ht="16.5" thickTop="1" thickBot="1" x14ac:dyDescent="0.3">
      <c r="A76" s="33" t="s">
        <v>58</v>
      </c>
      <c r="B76" s="32">
        <v>0.94159999999999999</v>
      </c>
      <c r="C76" s="34">
        <v>0.820809248554913</v>
      </c>
      <c r="D76" s="36">
        <v>1</v>
      </c>
      <c r="E76" s="36">
        <v>30</v>
      </c>
      <c r="F76" s="36">
        <v>21</v>
      </c>
      <c r="G76" s="36">
        <v>25</v>
      </c>
      <c r="H76" s="32" t="s">
        <v>392</v>
      </c>
    </row>
    <row r="77" spans="1:9" ht="16.5" thickTop="1" thickBot="1" x14ac:dyDescent="0.3">
      <c r="A77" s="33" t="s">
        <v>59</v>
      </c>
      <c r="B77" s="32">
        <v>0.67379999999999995</v>
      </c>
      <c r="C77" s="34">
        <v>0.46439999999999998</v>
      </c>
      <c r="D77" s="36">
        <v>4</v>
      </c>
      <c r="E77" s="36">
        <v>33</v>
      </c>
      <c r="F77" s="36">
        <v>14</v>
      </c>
      <c r="G77" s="36">
        <v>20</v>
      </c>
      <c r="H77" s="32" t="s">
        <v>392</v>
      </c>
    </row>
    <row r="78" spans="1:9" ht="16.5" thickTop="1" thickBot="1" x14ac:dyDescent="0.3">
      <c r="A78" s="33" t="s">
        <v>60</v>
      </c>
      <c r="B78" s="32">
        <v>0.78200000000000003</v>
      </c>
      <c r="C78" s="34">
        <v>0.8</v>
      </c>
      <c r="D78" s="36">
        <v>30</v>
      </c>
      <c r="E78" s="36">
        <v>2</v>
      </c>
      <c r="F78" s="36">
        <v>12</v>
      </c>
      <c r="G78" s="36">
        <v>10</v>
      </c>
      <c r="H78" s="32" t="s">
        <v>392</v>
      </c>
    </row>
    <row r="79" spans="1:9" ht="16.5" thickTop="1" thickBot="1" x14ac:dyDescent="0.3">
      <c r="A79" s="33" t="s">
        <v>61</v>
      </c>
      <c r="B79" s="32">
        <v>0.41720000000000002</v>
      </c>
      <c r="C79" s="34">
        <v>0.5</v>
      </c>
      <c r="D79" s="36">
        <v>32</v>
      </c>
      <c r="E79" s="36">
        <v>45</v>
      </c>
      <c r="F79" s="36">
        <v>37</v>
      </c>
      <c r="G79" s="36">
        <v>41</v>
      </c>
      <c r="H79" s="32" t="s">
        <v>392</v>
      </c>
    </row>
    <row r="80" spans="1:9" ht="16.5" thickTop="1" thickBot="1" x14ac:dyDescent="0.3">
      <c r="A80" s="33" t="s">
        <v>63</v>
      </c>
      <c r="B80" s="32">
        <v>0.7611</v>
      </c>
      <c r="C80" s="34">
        <v>0.86184210526315697</v>
      </c>
      <c r="D80" s="36">
        <v>0</v>
      </c>
      <c r="E80" s="36">
        <v>21</v>
      </c>
      <c r="F80" s="36">
        <v>17</v>
      </c>
      <c r="G80" s="36">
        <v>23</v>
      </c>
      <c r="H80" s="32" t="s">
        <v>392</v>
      </c>
    </row>
    <row r="81" spans="1:8" ht="16.5" thickTop="1" thickBot="1" x14ac:dyDescent="0.3">
      <c r="A81" s="33" t="s">
        <v>64</v>
      </c>
      <c r="B81" s="32">
        <v>0.70289999999999997</v>
      </c>
      <c r="C81" s="34">
        <v>0.67279999999999995</v>
      </c>
      <c r="D81" s="36">
        <v>14</v>
      </c>
      <c r="E81" s="36">
        <v>23</v>
      </c>
      <c r="F81" s="36">
        <v>23</v>
      </c>
      <c r="G81" s="36">
        <v>22</v>
      </c>
      <c r="H81" s="32" t="s">
        <v>392</v>
      </c>
    </row>
    <row r="82" spans="1:8" ht="16.5" thickTop="1" thickBot="1" x14ac:dyDescent="0.3">
      <c r="A82" s="33" t="s">
        <v>65</v>
      </c>
      <c r="B82" s="32">
        <v>0.97360000000000002</v>
      </c>
      <c r="C82" s="34">
        <v>0.84431137724550898</v>
      </c>
      <c r="D82" s="36">
        <v>4</v>
      </c>
      <c r="E82" s="36">
        <v>22</v>
      </c>
      <c r="F82" s="36">
        <v>17</v>
      </c>
      <c r="G82" s="36">
        <v>23</v>
      </c>
      <c r="H82" s="32" t="s">
        <v>392</v>
      </c>
    </row>
    <row r="83" spans="1:8" ht="16.5" thickTop="1" thickBot="1" x14ac:dyDescent="0.3">
      <c r="A83" s="33" t="s">
        <v>66</v>
      </c>
      <c r="B83" s="32">
        <v>0.72689999999999999</v>
      </c>
      <c r="C83" s="34">
        <v>0.65749999999999997</v>
      </c>
      <c r="D83" s="35">
        <v>88</v>
      </c>
      <c r="E83" s="35">
        <v>33</v>
      </c>
      <c r="F83" s="35">
        <v>17</v>
      </c>
      <c r="G83" s="35">
        <v>24</v>
      </c>
      <c r="H83" s="32" t="s">
        <v>392</v>
      </c>
    </row>
    <row r="84" spans="1:8" ht="16.5" thickTop="1" thickBot="1" x14ac:dyDescent="0.3">
      <c r="A84" s="33" t="s">
        <v>67</v>
      </c>
      <c r="B84" s="32">
        <v>0.64049999999999996</v>
      </c>
      <c r="C84" s="34">
        <v>0.712643678160919</v>
      </c>
      <c r="D84" s="36">
        <v>32</v>
      </c>
      <c r="E84" s="36">
        <v>18</v>
      </c>
      <c r="F84" s="36">
        <v>30</v>
      </c>
      <c r="G84" s="36">
        <v>24</v>
      </c>
      <c r="H84" s="32" t="s">
        <v>392</v>
      </c>
    </row>
    <row r="85" spans="1:8" ht="16.5" thickTop="1" thickBot="1" x14ac:dyDescent="0.3">
      <c r="A85" s="33" t="s">
        <v>68</v>
      </c>
      <c r="B85" s="32">
        <v>0.96240000000000003</v>
      </c>
      <c r="C85" s="34">
        <v>0.78680203045685204</v>
      </c>
      <c r="D85" s="35">
        <v>22</v>
      </c>
      <c r="E85" s="35">
        <v>20</v>
      </c>
      <c r="F85" s="35">
        <v>18</v>
      </c>
      <c r="G85" s="35">
        <v>22</v>
      </c>
      <c r="H85" s="32" t="s">
        <v>392</v>
      </c>
    </row>
    <row r="86" spans="1:8" ht="16.5" thickTop="1" thickBot="1" x14ac:dyDescent="0.3">
      <c r="A86" s="33" t="s">
        <v>69</v>
      </c>
      <c r="B86" s="32">
        <v>0.68230000000000002</v>
      </c>
      <c r="C86" s="34">
        <v>0.79581151832460695</v>
      </c>
      <c r="D86" s="36">
        <v>18</v>
      </c>
      <c r="E86" s="36">
        <v>21</v>
      </c>
      <c r="F86" s="36">
        <v>25</v>
      </c>
      <c r="G86" s="36">
        <v>23</v>
      </c>
      <c r="H86" s="32" t="s">
        <v>392</v>
      </c>
    </row>
    <row r="87" spans="1:8" ht="16.5" thickTop="1" thickBot="1" x14ac:dyDescent="0.3">
      <c r="A87" s="33" t="s">
        <v>70</v>
      </c>
      <c r="B87" s="32">
        <v>0.69379999999999997</v>
      </c>
      <c r="C87" s="34">
        <v>0.51980000000000004</v>
      </c>
      <c r="D87" s="36">
        <v>11</v>
      </c>
      <c r="E87" s="36">
        <v>21</v>
      </c>
      <c r="F87" s="36">
        <v>19</v>
      </c>
      <c r="G87" s="36">
        <v>20</v>
      </c>
      <c r="H87" s="32" t="s">
        <v>392</v>
      </c>
    </row>
    <row r="88" spans="1:8" ht="16.5" thickTop="1" thickBot="1" x14ac:dyDescent="0.3">
      <c r="A88" s="33" t="s">
        <v>71</v>
      </c>
      <c r="B88" s="32">
        <v>0.63470000000000004</v>
      </c>
      <c r="C88" s="34">
        <v>0.78048780487804803</v>
      </c>
      <c r="D88" s="36">
        <v>9</v>
      </c>
      <c r="E88" s="36">
        <v>27</v>
      </c>
      <c r="F88" s="36">
        <v>28</v>
      </c>
      <c r="G88" s="36">
        <v>17</v>
      </c>
      <c r="H88" s="32" t="s">
        <v>392</v>
      </c>
    </row>
    <row r="89" spans="1:8" ht="16.5" thickTop="1" thickBot="1" x14ac:dyDescent="0.3">
      <c r="A89" s="33" t="s">
        <v>72</v>
      </c>
      <c r="B89" s="32">
        <v>0.81669999999999998</v>
      </c>
      <c r="C89" s="34">
        <v>0.640718562874251</v>
      </c>
      <c r="D89" s="35">
        <v>26</v>
      </c>
      <c r="E89" s="35">
        <v>34</v>
      </c>
      <c r="F89" s="35">
        <v>38</v>
      </c>
      <c r="G89" s="35">
        <v>25</v>
      </c>
      <c r="H89" s="32" t="s">
        <v>392</v>
      </c>
    </row>
    <row r="90" spans="1:8" ht="16.5" thickTop="1" thickBot="1" x14ac:dyDescent="0.3">
      <c r="A90" s="33" t="s">
        <v>73</v>
      </c>
      <c r="B90" s="32">
        <v>0.90669999999999995</v>
      </c>
      <c r="C90" s="34">
        <v>0.77889447236180898</v>
      </c>
      <c r="D90" s="35">
        <v>23</v>
      </c>
      <c r="E90" s="35">
        <v>21</v>
      </c>
      <c r="F90" s="35">
        <v>24</v>
      </c>
      <c r="G90" s="35">
        <v>18</v>
      </c>
      <c r="H90" s="32" t="s">
        <v>392</v>
      </c>
    </row>
    <row r="91" spans="1:8" ht="16.5" thickTop="1" thickBot="1" x14ac:dyDescent="0.3">
      <c r="A91" s="33" t="s">
        <v>74</v>
      </c>
      <c r="B91" s="32">
        <v>0.98409999999999997</v>
      </c>
      <c r="C91" s="34">
        <v>0.78217821782178198</v>
      </c>
      <c r="D91" s="35">
        <v>23</v>
      </c>
      <c r="E91" s="35">
        <v>21</v>
      </c>
      <c r="F91" s="35">
        <v>15</v>
      </c>
      <c r="G91" s="35">
        <v>23</v>
      </c>
      <c r="H91" s="32" t="s">
        <v>392</v>
      </c>
    </row>
    <row r="92" spans="1:8" ht="16.5" thickTop="1" thickBot="1" x14ac:dyDescent="0.3">
      <c r="A92" s="33" t="s">
        <v>75</v>
      </c>
      <c r="B92" s="32">
        <v>0.69940000000000002</v>
      </c>
      <c r="C92" s="34">
        <v>0.97360000000000002</v>
      </c>
      <c r="D92" s="36">
        <v>8</v>
      </c>
      <c r="E92" s="36">
        <v>12</v>
      </c>
      <c r="F92" s="36">
        <v>17</v>
      </c>
      <c r="G92" s="36">
        <v>20</v>
      </c>
      <c r="H92" s="32" t="s">
        <v>392</v>
      </c>
    </row>
    <row r="93" spans="1:8" ht="16.5" thickTop="1" thickBot="1" x14ac:dyDescent="0.3">
      <c r="A93" s="33" t="s">
        <v>76</v>
      </c>
      <c r="B93" s="32">
        <v>0.70669999999999999</v>
      </c>
      <c r="C93" s="34">
        <v>0.62870000000000004</v>
      </c>
      <c r="D93" s="36">
        <v>11</v>
      </c>
      <c r="E93" s="36">
        <v>26</v>
      </c>
      <c r="F93" s="36">
        <v>20</v>
      </c>
      <c r="G93" s="36">
        <v>26</v>
      </c>
      <c r="H93" s="32" t="s">
        <v>392</v>
      </c>
    </row>
    <row r="94" spans="1:8" ht="16.5" thickTop="1" thickBot="1" x14ac:dyDescent="0.3">
      <c r="A94" s="33" t="s">
        <v>78</v>
      </c>
      <c r="B94" s="32">
        <v>0.77259999999999995</v>
      </c>
      <c r="C94" s="34">
        <v>0.78571428571428503</v>
      </c>
      <c r="D94" s="36">
        <v>27</v>
      </c>
      <c r="E94" s="36">
        <v>9</v>
      </c>
      <c r="F94" s="36">
        <v>14</v>
      </c>
      <c r="G94" s="36">
        <v>17</v>
      </c>
      <c r="H94" s="32" t="s">
        <v>392</v>
      </c>
    </row>
    <row r="95" spans="1:8" ht="16.5" thickTop="1" thickBot="1" x14ac:dyDescent="0.3">
      <c r="A95" s="33" t="s">
        <v>79</v>
      </c>
      <c r="B95" s="32">
        <v>0.69969999999999999</v>
      </c>
      <c r="C95" s="34">
        <v>0.85</v>
      </c>
      <c r="D95" s="36">
        <v>8</v>
      </c>
      <c r="E95" s="36">
        <v>16</v>
      </c>
      <c r="F95" s="36">
        <v>13</v>
      </c>
      <c r="G95" s="36">
        <v>12</v>
      </c>
      <c r="H95" s="32" t="s">
        <v>392</v>
      </c>
    </row>
    <row r="96" spans="1:8" ht="16.5" thickTop="1" thickBot="1" x14ac:dyDescent="0.3">
      <c r="A96" s="33" t="s">
        <v>80</v>
      </c>
      <c r="B96" s="32">
        <v>0.7591</v>
      </c>
      <c r="C96" s="34">
        <v>0.62790697674418605</v>
      </c>
      <c r="D96" s="35">
        <v>107</v>
      </c>
      <c r="E96" s="35">
        <v>43</v>
      </c>
      <c r="F96" s="35">
        <v>21</v>
      </c>
      <c r="G96" s="35">
        <v>20</v>
      </c>
      <c r="H96" s="32" t="s">
        <v>392</v>
      </c>
    </row>
    <row r="97" spans="1:8" ht="16.5" thickTop="1" thickBot="1" x14ac:dyDescent="0.3">
      <c r="A97" s="33" t="s">
        <v>81</v>
      </c>
      <c r="B97" s="32">
        <v>0.73329999999999995</v>
      </c>
      <c r="C97" s="34">
        <v>0.73888888888888804</v>
      </c>
      <c r="D97" s="35">
        <v>28</v>
      </c>
      <c r="E97" s="35">
        <v>19</v>
      </c>
      <c r="F97" s="35">
        <v>21</v>
      </c>
      <c r="G97" s="35">
        <v>15</v>
      </c>
      <c r="H97" s="32" t="s">
        <v>392</v>
      </c>
    </row>
    <row r="98" spans="1:8" ht="16.5" thickTop="1" thickBot="1" x14ac:dyDescent="0.3">
      <c r="A98" s="33" t="s">
        <v>82</v>
      </c>
      <c r="B98" s="32">
        <v>0.84340000000000004</v>
      </c>
      <c r="C98" s="34">
        <v>0.70391061452513903</v>
      </c>
      <c r="D98" s="35">
        <v>19</v>
      </c>
      <c r="E98" s="35">
        <v>34</v>
      </c>
      <c r="F98" s="35">
        <v>14</v>
      </c>
      <c r="G98" s="35">
        <v>21</v>
      </c>
      <c r="H98" s="32" t="s">
        <v>392</v>
      </c>
    </row>
    <row r="99" spans="1:8" ht="16.5" thickTop="1" thickBot="1" x14ac:dyDescent="0.3">
      <c r="A99" s="33" t="s">
        <v>84</v>
      </c>
      <c r="B99" s="32">
        <v>0.68210000000000004</v>
      </c>
      <c r="C99" s="34">
        <v>0.61829999999999996</v>
      </c>
      <c r="D99" s="36">
        <v>8</v>
      </c>
      <c r="E99" s="36">
        <v>21</v>
      </c>
      <c r="F99" s="36">
        <v>18</v>
      </c>
      <c r="G99" s="36">
        <v>20</v>
      </c>
      <c r="H99" s="32" t="s">
        <v>392</v>
      </c>
    </row>
    <row r="100" spans="1:8" ht="16.5" thickTop="1" thickBot="1" x14ac:dyDescent="0.3">
      <c r="A100" s="33" t="s">
        <v>85</v>
      </c>
      <c r="B100" s="32">
        <v>0.70979999999999999</v>
      </c>
      <c r="C100" s="34">
        <v>0.69518716577540096</v>
      </c>
      <c r="D100" s="36">
        <v>23</v>
      </c>
      <c r="E100" s="36">
        <v>34</v>
      </c>
      <c r="F100" s="36">
        <v>28</v>
      </c>
      <c r="G100" s="36">
        <v>25</v>
      </c>
      <c r="H100" s="32" t="s">
        <v>392</v>
      </c>
    </row>
    <row r="101" spans="1:8" ht="16.5" thickTop="1" thickBot="1" x14ac:dyDescent="0.3">
      <c r="A101" s="33" t="s">
        <v>86</v>
      </c>
      <c r="B101" s="32">
        <v>0.69079999999999997</v>
      </c>
      <c r="C101" s="34">
        <v>0.58950000000000002</v>
      </c>
      <c r="D101" s="36">
        <v>4</v>
      </c>
      <c r="E101" s="36">
        <v>27</v>
      </c>
      <c r="F101" s="36">
        <v>15</v>
      </c>
      <c r="G101" s="36">
        <v>21</v>
      </c>
      <c r="H101" s="32" t="s">
        <v>392</v>
      </c>
    </row>
    <row r="102" spans="1:8" ht="16.5" thickTop="1" thickBot="1" x14ac:dyDescent="0.3">
      <c r="A102" s="33" t="s">
        <v>87</v>
      </c>
      <c r="B102" s="32">
        <v>0.68369999999999997</v>
      </c>
      <c r="C102" s="34">
        <v>0.82098765432098697</v>
      </c>
      <c r="D102" s="36">
        <v>3</v>
      </c>
      <c r="E102" s="36">
        <v>26</v>
      </c>
      <c r="F102" s="36">
        <v>30</v>
      </c>
      <c r="G102" s="36">
        <v>28</v>
      </c>
      <c r="H102" s="32" t="s">
        <v>392</v>
      </c>
    </row>
    <row r="103" spans="1:8" ht="16.5" thickTop="1" thickBot="1" x14ac:dyDescent="0.3">
      <c r="A103" s="33" t="s">
        <v>88</v>
      </c>
      <c r="B103" s="32">
        <v>0.84619999999999995</v>
      </c>
      <c r="C103" s="34">
        <v>0.64081871345029195</v>
      </c>
      <c r="D103" s="35">
        <v>32</v>
      </c>
      <c r="E103" s="35">
        <v>26</v>
      </c>
      <c r="F103" s="35">
        <v>25</v>
      </c>
      <c r="G103" s="35">
        <v>30</v>
      </c>
      <c r="H103" s="32" t="s">
        <v>392</v>
      </c>
    </row>
    <row r="104" spans="1:8" ht="16.5" thickTop="1" thickBot="1" x14ac:dyDescent="0.3">
      <c r="A104" s="33" t="s">
        <v>89</v>
      </c>
      <c r="B104" s="32">
        <v>0.66339999999999999</v>
      </c>
      <c r="C104" s="34">
        <v>0.57930000000000004</v>
      </c>
      <c r="D104" s="36">
        <v>11</v>
      </c>
      <c r="E104" s="36">
        <v>19</v>
      </c>
      <c r="F104" s="36">
        <v>22</v>
      </c>
      <c r="G104" s="36">
        <v>16</v>
      </c>
      <c r="H104" s="32" t="s">
        <v>392</v>
      </c>
    </row>
    <row r="105" spans="1:8" ht="16.5" thickTop="1" thickBot="1" x14ac:dyDescent="0.3">
      <c r="A105" s="33" t="s">
        <v>91</v>
      </c>
      <c r="B105" s="32">
        <v>0.95469999999999999</v>
      </c>
      <c r="C105" s="34">
        <v>0.87931034482758597</v>
      </c>
      <c r="D105" s="36">
        <v>14</v>
      </c>
      <c r="E105" s="36">
        <v>35</v>
      </c>
      <c r="F105" s="36">
        <v>18</v>
      </c>
      <c r="G105" s="36">
        <v>17</v>
      </c>
      <c r="H105" s="32" t="s">
        <v>392</v>
      </c>
    </row>
    <row r="106" spans="1:8" ht="16.5" thickTop="1" thickBot="1" x14ac:dyDescent="0.3">
      <c r="A106" s="33" t="s">
        <v>92</v>
      </c>
      <c r="B106" s="32">
        <v>0.70940000000000003</v>
      </c>
      <c r="C106" s="34">
        <v>0.81289999999999996</v>
      </c>
      <c r="D106" s="36">
        <v>70</v>
      </c>
      <c r="E106" s="36">
        <v>35</v>
      </c>
      <c r="F106" s="36">
        <v>129</v>
      </c>
      <c r="G106" s="36">
        <v>39</v>
      </c>
      <c r="H106" s="32" t="s">
        <v>392</v>
      </c>
    </row>
    <row r="107" spans="1:8" ht="16.5" thickTop="1" thickBot="1" x14ac:dyDescent="0.3">
      <c r="A107" s="33" t="s">
        <v>93</v>
      </c>
      <c r="B107" s="32">
        <v>0.43869999999999998</v>
      </c>
      <c r="C107" s="34">
        <v>0.56209150326797297</v>
      </c>
      <c r="D107" s="36">
        <v>19</v>
      </c>
      <c r="E107" s="36">
        <v>38</v>
      </c>
      <c r="F107" s="36">
        <v>29</v>
      </c>
      <c r="G107" s="36">
        <v>35</v>
      </c>
      <c r="H107" s="32" t="s">
        <v>392</v>
      </c>
    </row>
    <row r="108" spans="1:8" ht="15.75" thickTop="1" x14ac:dyDescent="0.25"/>
  </sheetData>
  <mergeCells count="5">
    <mergeCell ref="Q15:S15"/>
    <mergeCell ref="J17:L17"/>
    <mergeCell ref="J1:L1"/>
    <mergeCell ref="J53:L53"/>
    <mergeCell ref="J37:L37"/>
  </mergeCells>
  <conditionalFormatting sqref="B2:B32 B37:B107">
    <cfRule type="cellIs" dxfId="68" priority="5" operator="between">
      <formula>$K$3</formula>
      <formula>$L$3</formula>
    </cfRule>
    <cfRule type="cellIs" dxfId="67" priority="6" operator="between">
      <formula>$K$5</formula>
      <formula>$L$5</formula>
    </cfRule>
    <cfRule type="cellIs" dxfId="66" priority="7" operator="lessThan">
      <formula>$L$2</formula>
    </cfRule>
    <cfRule type="cellIs" dxfId="65" priority="8" operator="greaterThan">
      <formula>$K$6</formula>
    </cfRule>
    <cfRule type="cellIs" dxfId="64" priority="9" operator="between">
      <formula>$K$4</formula>
      <formula>$L$4</formula>
    </cfRule>
  </conditionalFormatting>
  <conditionalFormatting sqref="C2:C32 C37:C107">
    <cfRule type="cellIs" dxfId="63" priority="3" operator="greaterThan">
      <formula>$K$21</formula>
    </cfRule>
    <cfRule type="cellIs" dxfId="62" priority="4" operator="lessThan">
      <formula>$L$18</formula>
    </cfRule>
  </conditionalFormatting>
  <conditionalFormatting sqref="C2:C107">
    <cfRule type="cellIs" dxfId="61" priority="1" operator="between">
      <formula>$K$20</formula>
      <formula>$L$20</formula>
    </cfRule>
    <cfRule type="cellIs" dxfId="60" priority="2" operator="between">
      <formula>$K$19</formula>
      <formula>$L$19</formula>
    </cfRule>
  </conditionalFormatting>
  <pageMargins left="0.25" right="0.25" top="0.75" bottom="0.75" header="0.3" footer="0.3"/>
  <pageSetup paperSize="9" scale="37" fitToHeight="0" orientation="landscape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AC106"/>
  <sheetViews>
    <sheetView topLeftCell="N8" zoomScale="80" zoomScaleNormal="80" workbookViewId="0">
      <selection activeCell="Z21" sqref="Z21"/>
    </sheetView>
  </sheetViews>
  <sheetFormatPr baseColWidth="10" defaultColWidth="11.42578125" defaultRowHeight="15" x14ac:dyDescent="0.25"/>
  <cols>
    <col min="1" max="1" width="24" style="11" customWidth="1"/>
    <col min="2" max="2" width="14.85546875" style="11" customWidth="1"/>
    <col min="3" max="3" width="19.42578125" style="11" customWidth="1"/>
    <col min="4" max="4" width="18.28515625" style="11" customWidth="1"/>
    <col min="5" max="5" width="19.42578125" style="11" customWidth="1"/>
    <col min="6" max="6" width="22.85546875" style="11" customWidth="1"/>
    <col min="7" max="7" width="26" style="11" customWidth="1"/>
    <col min="8" max="8" width="21" style="11" customWidth="1"/>
    <col min="9" max="9" width="19.42578125" style="11" customWidth="1"/>
    <col min="10" max="10" width="18.7109375" style="11" customWidth="1"/>
    <col min="11" max="11" width="16.85546875" style="11" customWidth="1"/>
    <col min="12" max="12" width="17.140625" style="11" customWidth="1"/>
    <col min="13" max="13" width="20" style="11" customWidth="1"/>
    <col min="14" max="14" width="18" style="11" customWidth="1"/>
    <col min="15" max="15" width="16.42578125" style="11" customWidth="1"/>
    <col min="16" max="16" width="16.140625" style="11" customWidth="1"/>
    <col min="17" max="16384" width="11.42578125" style="11"/>
  </cols>
  <sheetData>
    <row r="1" spans="1:29" ht="16.5" thickTop="1" thickBot="1" x14ac:dyDescent="0.3">
      <c r="A1" s="8" t="s">
        <v>137</v>
      </c>
      <c r="B1" s="8" t="s">
        <v>148</v>
      </c>
      <c r="C1" s="8" t="s">
        <v>149</v>
      </c>
      <c r="D1" s="8" t="s">
        <v>5</v>
      </c>
      <c r="E1" s="15" t="s">
        <v>142</v>
      </c>
      <c r="F1" s="15" t="s">
        <v>143</v>
      </c>
      <c r="G1" s="13" t="s">
        <v>354</v>
      </c>
      <c r="H1" s="13" t="s">
        <v>144</v>
      </c>
      <c r="I1" s="9" t="s">
        <v>352</v>
      </c>
      <c r="J1" s="9" t="s">
        <v>353</v>
      </c>
      <c r="K1" s="9" t="s">
        <v>355</v>
      </c>
      <c r="L1" s="17" t="s">
        <v>372</v>
      </c>
      <c r="M1" s="16" t="s">
        <v>373</v>
      </c>
      <c r="N1" s="11" t="s">
        <v>374</v>
      </c>
      <c r="O1" s="11" t="s">
        <v>375</v>
      </c>
      <c r="S1" s="8" t="s">
        <v>356</v>
      </c>
      <c r="T1" s="8"/>
      <c r="U1" s="8"/>
      <c r="W1" s="8" t="s">
        <v>362</v>
      </c>
      <c r="X1" s="8"/>
      <c r="Y1" s="8"/>
      <c r="AA1" s="8" t="s">
        <v>363</v>
      </c>
      <c r="AB1" s="8"/>
      <c r="AC1" s="8"/>
    </row>
    <row r="2" spans="1:29" ht="16.5" thickTop="1" thickBot="1" x14ac:dyDescent="0.3">
      <c r="A2" s="10" t="s">
        <v>12</v>
      </c>
      <c r="B2" s="11">
        <f>ROUND(E:E*C:C,0)</f>
        <v>23448</v>
      </c>
      <c r="C2" s="11">
        <v>34820</v>
      </c>
      <c r="D2" s="11">
        <f>C:C-B:B</f>
        <v>11372</v>
      </c>
      <c r="E2" s="11">
        <v>0.6734</v>
      </c>
      <c r="F2" s="11">
        <f>1-E:E</f>
        <v>0.3266</v>
      </c>
      <c r="G2" s="11">
        <f>B:B/D:D</f>
        <v>2.0619064368624693</v>
      </c>
      <c r="H2" s="11">
        <f t="shared" ref="H2:H32" si="0">F:F/E:E</f>
        <v>0.48500148500148499</v>
      </c>
      <c r="I2" s="11">
        <f>G:G/E:E</f>
        <v>3.0619341206748878</v>
      </c>
      <c r="J2" s="11">
        <f>F:F/G:G</f>
        <v>0.15839709996588194</v>
      </c>
      <c r="K2" s="11">
        <f>E:E+F:F</f>
        <v>1</v>
      </c>
      <c r="L2" s="11">
        <f>(D2*B2)/(C2*C2)</f>
        <v>0.21993032848676758</v>
      </c>
      <c r="M2" s="11">
        <f t="shared" ref="M2:M32" si="1">(C2*C2)/(D2*D2)</f>
        <v>9.3752710280998226</v>
      </c>
      <c r="N2" s="11">
        <f t="shared" ref="N2:N32" si="2">(2*D2)/(B2+C2)</f>
        <v>0.39033431729251045</v>
      </c>
      <c r="O2" s="11">
        <f t="shared" ref="O2:O32" si="3">D2/(B2+C2)</f>
        <v>0.19516715864625522</v>
      </c>
    </row>
    <row r="3" spans="1:29" ht="16.5" thickTop="1" thickBot="1" x14ac:dyDescent="0.3">
      <c r="A3" s="10" t="s">
        <v>13</v>
      </c>
      <c r="B3" s="11">
        <f t="shared" ref="B3:B66" si="4">ROUND(E:E*C:C,0)</f>
        <v>6493</v>
      </c>
      <c r="C3" s="11">
        <v>20967</v>
      </c>
      <c r="D3" s="11">
        <f t="shared" ref="D3:D66" si="5">C:C-B:B</f>
        <v>14474</v>
      </c>
      <c r="E3" s="11">
        <v>0.30969999999999998</v>
      </c>
      <c r="F3" s="11">
        <f t="shared" ref="F3:F66" si="6">1-E:E</f>
        <v>0.69030000000000002</v>
      </c>
      <c r="G3" s="11">
        <f t="shared" ref="G3:G66" si="7">B:B/D:D</f>
        <v>0.44859748514577863</v>
      </c>
      <c r="H3" s="11">
        <f t="shared" si="0"/>
        <v>2.2289312237649339</v>
      </c>
      <c r="I3" s="11">
        <f t="shared" ref="I3:I66" si="8">G:G/E:E</f>
        <v>1.4484904266896308</v>
      </c>
      <c r="J3" s="11">
        <f t="shared" ref="J3:J66" si="9">F:F/G:G</f>
        <v>1.5387959648852612</v>
      </c>
      <c r="K3" s="11">
        <f t="shared" ref="K3:K66" si="10">E:E+F:F</f>
        <v>1</v>
      </c>
      <c r="L3" s="11">
        <f t="shared" ref="L3:L66" si="11">(D3*B3)/(C3*C3)</f>
        <v>0.21377719817073887</v>
      </c>
      <c r="M3" s="11">
        <f t="shared" si="1"/>
        <v>2.0984346739706745</v>
      </c>
      <c r="N3" s="11">
        <f t="shared" si="2"/>
        <v>1.0541879096868172</v>
      </c>
      <c r="O3" s="11">
        <f t="shared" si="3"/>
        <v>0.5270939548434086</v>
      </c>
      <c r="T3" s="13">
        <v>0</v>
      </c>
      <c r="U3" s="13">
        <v>1</v>
      </c>
      <c r="X3" s="13">
        <v>0</v>
      </c>
      <c r="Y3" s="13">
        <v>1</v>
      </c>
      <c r="AB3" s="13">
        <v>0</v>
      </c>
      <c r="AC3" s="13">
        <v>1</v>
      </c>
    </row>
    <row r="4" spans="1:29" ht="16.5" thickTop="1" thickBot="1" x14ac:dyDescent="0.3">
      <c r="A4" s="10" t="s">
        <v>14</v>
      </c>
      <c r="B4" s="11">
        <f t="shared" si="4"/>
        <v>4383</v>
      </c>
      <c r="C4" s="12">
        <v>20042</v>
      </c>
      <c r="D4" s="11">
        <f t="shared" si="5"/>
        <v>15659</v>
      </c>
      <c r="E4" s="11">
        <v>0.21870000000000001</v>
      </c>
      <c r="F4" s="11">
        <f t="shared" si="6"/>
        <v>0.78129999999999999</v>
      </c>
      <c r="G4" s="11">
        <f t="shared" si="7"/>
        <v>0.27990293122166165</v>
      </c>
      <c r="H4" s="11">
        <f t="shared" si="0"/>
        <v>3.5724737082761773</v>
      </c>
      <c r="I4" s="11">
        <f t="shared" si="8"/>
        <v>1.279848793880483</v>
      </c>
      <c r="J4" s="11">
        <f t="shared" si="9"/>
        <v>2.7913248231804699</v>
      </c>
      <c r="K4" s="11">
        <f t="shared" si="10"/>
        <v>1</v>
      </c>
      <c r="L4" s="11">
        <f t="shared" si="11"/>
        <v>0.1708651055416098</v>
      </c>
      <c r="M4" s="11">
        <f t="shared" si="1"/>
        <v>1.6381515133498017</v>
      </c>
      <c r="N4" s="11">
        <f t="shared" si="2"/>
        <v>1.2822108495394064</v>
      </c>
      <c r="O4" s="11">
        <f t="shared" si="3"/>
        <v>0.64110542476970322</v>
      </c>
      <c r="S4" s="13">
        <v>0</v>
      </c>
      <c r="T4" s="14">
        <f>COUNTIF(E2:E32,"&lt;"&amp;E33)</f>
        <v>21</v>
      </c>
      <c r="U4" s="14">
        <f>COUNTIF(E2:E32,"&gt;"&amp;E33)</f>
        <v>10</v>
      </c>
      <c r="W4" s="13">
        <v>0</v>
      </c>
      <c r="X4" s="14">
        <f>COUNTIF(F2:F32,"&gt;"&amp;F33)</f>
        <v>21</v>
      </c>
      <c r="Y4" s="14">
        <f>COUNTIF(F2:F32,"&lt;"&amp;F33)</f>
        <v>10</v>
      </c>
      <c r="AA4" s="13">
        <v>0</v>
      </c>
      <c r="AB4" s="14">
        <f>COUNTIF(G2:G32,"&lt;"&amp;G33)</f>
        <v>21</v>
      </c>
      <c r="AC4" s="14">
        <f>COUNTIF(G2:G32,"&gt;"&amp;G33)</f>
        <v>10</v>
      </c>
    </row>
    <row r="5" spans="1:29" ht="16.5" thickTop="1" thickBot="1" x14ac:dyDescent="0.3">
      <c r="A5" s="10" t="s">
        <v>18</v>
      </c>
      <c r="B5" s="11">
        <f t="shared" si="4"/>
        <v>5798</v>
      </c>
      <c r="C5" s="11">
        <v>14615</v>
      </c>
      <c r="D5" s="11">
        <f t="shared" si="5"/>
        <v>8817</v>
      </c>
      <c r="E5" s="11">
        <v>0.3967</v>
      </c>
      <c r="F5" s="11">
        <f t="shared" si="6"/>
        <v>0.60329999999999995</v>
      </c>
      <c r="G5" s="11">
        <f t="shared" si="7"/>
        <v>0.65759328569808329</v>
      </c>
      <c r="H5" s="11">
        <f t="shared" si="0"/>
        <v>1.5207965717166623</v>
      </c>
      <c r="I5" s="11">
        <f t="shared" si="8"/>
        <v>1.6576589001716242</v>
      </c>
      <c r="J5" s="11">
        <f t="shared" si="9"/>
        <v>0.91743637461193506</v>
      </c>
      <c r="K5" s="11">
        <f t="shared" si="10"/>
        <v>1</v>
      </c>
      <c r="L5" s="11">
        <f t="shared" si="11"/>
        <v>0.23933235400247357</v>
      </c>
      <c r="M5" s="11">
        <f t="shared" si="1"/>
        <v>2.7476155007913676</v>
      </c>
      <c r="N5" s="11">
        <f t="shared" si="2"/>
        <v>0.86386126488022341</v>
      </c>
      <c r="O5" s="11">
        <f t="shared" si="3"/>
        <v>0.43193063244011171</v>
      </c>
      <c r="S5" s="13">
        <v>1</v>
      </c>
      <c r="T5" s="14">
        <f>COUNTIF(E36:E105,"&lt;"&amp;E33)</f>
        <v>7</v>
      </c>
      <c r="U5" s="14">
        <f>COUNTIF(E36:E105,"&gt;"&amp;E33)</f>
        <v>63</v>
      </c>
      <c r="W5" s="13">
        <v>1</v>
      </c>
      <c r="X5" s="14">
        <f>COUNTIF(F36:F105,"&gt;"&amp;F33)</f>
        <v>7</v>
      </c>
      <c r="Y5" s="14">
        <f>COUNTIF(F36:F105,"&lt;"&amp;F33)</f>
        <v>63</v>
      </c>
      <c r="AA5" s="13">
        <v>1</v>
      </c>
      <c r="AB5" s="14">
        <f>COUNTIF(G36:G105,"&lt;"&amp;G33)</f>
        <v>7</v>
      </c>
      <c r="AC5" s="14">
        <f>COUNTIF(G36:G105,"&gt;"&amp;G33)</f>
        <v>63</v>
      </c>
    </row>
    <row r="6" spans="1:29" ht="16.5" thickTop="1" thickBot="1" x14ac:dyDescent="0.3">
      <c r="A6" s="10" t="s">
        <v>22</v>
      </c>
      <c r="B6" s="11">
        <f t="shared" si="4"/>
        <v>8475</v>
      </c>
      <c r="C6" s="11">
        <v>17222</v>
      </c>
      <c r="D6" s="11">
        <f t="shared" si="5"/>
        <v>8747</v>
      </c>
      <c r="E6" s="11">
        <v>0.49209999999999998</v>
      </c>
      <c r="F6" s="11">
        <f t="shared" si="6"/>
        <v>0.50790000000000002</v>
      </c>
      <c r="G6" s="11">
        <f t="shared" si="7"/>
        <v>0.96890362409969133</v>
      </c>
      <c r="H6" s="11">
        <f t="shared" si="0"/>
        <v>1.0321072952651902</v>
      </c>
      <c r="I6" s="11">
        <f t="shared" si="8"/>
        <v>1.9689161229418641</v>
      </c>
      <c r="J6" s="11">
        <f t="shared" si="9"/>
        <v>0.52420074336283184</v>
      </c>
      <c r="K6" s="11">
        <f t="shared" si="10"/>
        <v>1</v>
      </c>
      <c r="L6" s="11">
        <f t="shared" si="11"/>
        <v>0.24993763934803934</v>
      </c>
      <c r="M6" s="11">
        <f t="shared" si="1"/>
        <v>3.8765814809928987</v>
      </c>
      <c r="N6" s="11">
        <f t="shared" si="2"/>
        <v>0.68077985757092263</v>
      </c>
      <c r="O6" s="11">
        <f t="shared" si="3"/>
        <v>0.34038992878546132</v>
      </c>
    </row>
    <row r="7" spans="1:29" ht="16.5" thickTop="1" thickBot="1" x14ac:dyDescent="0.3">
      <c r="A7" s="10" t="s">
        <v>23</v>
      </c>
      <c r="B7" s="11">
        <f t="shared" si="4"/>
        <v>8144</v>
      </c>
      <c r="C7" s="11">
        <v>19879</v>
      </c>
      <c r="D7" s="11">
        <f t="shared" si="5"/>
        <v>11735</v>
      </c>
      <c r="E7" s="11">
        <v>0.40970000000000001</v>
      </c>
      <c r="F7" s="11">
        <f t="shared" si="6"/>
        <v>0.59030000000000005</v>
      </c>
      <c r="G7" s="11">
        <f t="shared" si="7"/>
        <v>0.69399233063485299</v>
      </c>
      <c r="H7" s="11">
        <f t="shared" si="0"/>
        <v>1.4408103490358799</v>
      </c>
      <c r="I7" s="11">
        <f t="shared" si="8"/>
        <v>1.6939036627650792</v>
      </c>
      <c r="J7" s="11">
        <f t="shared" si="9"/>
        <v>0.85058576866404723</v>
      </c>
      <c r="K7" s="11">
        <f t="shared" si="10"/>
        <v>1</v>
      </c>
      <c r="L7" s="11">
        <f t="shared" si="11"/>
        <v>0.2418420366199561</v>
      </c>
      <c r="M7" s="11">
        <f t="shared" si="1"/>
        <v>2.8696100162497014</v>
      </c>
      <c r="N7" s="11">
        <f t="shared" si="2"/>
        <v>0.83752631766763019</v>
      </c>
      <c r="O7" s="11">
        <f t="shared" si="3"/>
        <v>0.4187631588338151</v>
      </c>
    </row>
    <row r="8" spans="1:29" ht="16.5" thickTop="1" thickBot="1" x14ac:dyDescent="0.3">
      <c r="A8" s="10" t="s">
        <v>38</v>
      </c>
      <c r="B8" s="11">
        <f t="shared" si="4"/>
        <v>12663</v>
      </c>
      <c r="C8" s="11">
        <v>23519</v>
      </c>
      <c r="D8" s="11">
        <f t="shared" si="5"/>
        <v>10856</v>
      </c>
      <c r="E8" s="11">
        <v>0.53839999999999999</v>
      </c>
      <c r="F8" s="11">
        <f t="shared" si="6"/>
        <v>0.46160000000000001</v>
      </c>
      <c r="G8" s="11">
        <f t="shared" si="7"/>
        <v>1.166451731761238</v>
      </c>
      <c r="H8" s="11">
        <f t="shared" si="0"/>
        <v>0.85735512630014865</v>
      </c>
      <c r="I8" s="11">
        <f t="shared" si="8"/>
        <v>2.1665151035684214</v>
      </c>
      <c r="J8" s="11">
        <f t="shared" si="9"/>
        <v>0.39573004817183927</v>
      </c>
      <c r="K8" s="11">
        <f t="shared" si="10"/>
        <v>1</v>
      </c>
      <c r="L8" s="11">
        <f t="shared" si="11"/>
        <v>0.24852423023115702</v>
      </c>
      <c r="M8" s="11">
        <f t="shared" si="1"/>
        <v>4.6935131060512676</v>
      </c>
      <c r="N8" s="11">
        <f t="shared" si="2"/>
        <v>0.60007738654579623</v>
      </c>
      <c r="O8" s="11">
        <f t="shared" si="3"/>
        <v>0.30003869327289812</v>
      </c>
      <c r="S8" s="8" t="s">
        <v>364</v>
      </c>
      <c r="T8" s="8"/>
      <c r="U8" s="8"/>
      <c r="W8" s="8" t="s">
        <v>365</v>
      </c>
      <c r="X8" s="8"/>
      <c r="Y8" s="8"/>
      <c r="AA8" s="8" t="s">
        <v>366</v>
      </c>
      <c r="AB8" s="8"/>
      <c r="AC8" s="8"/>
    </row>
    <row r="9" spans="1:29" ht="16.5" thickTop="1" thickBot="1" x14ac:dyDescent="0.3">
      <c r="A9" s="10" t="s">
        <v>40</v>
      </c>
      <c r="B9" s="11">
        <f t="shared" si="4"/>
        <v>19033</v>
      </c>
      <c r="C9" s="11">
        <v>27394</v>
      </c>
      <c r="D9" s="11">
        <f t="shared" si="5"/>
        <v>8361</v>
      </c>
      <c r="E9" s="11">
        <v>0.69479999999999997</v>
      </c>
      <c r="F9" s="11">
        <f t="shared" si="6"/>
        <v>0.30520000000000003</v>
      </c>
      <c r="G9" s="11">
        <f t="shared" si="7"/>
        <v>2.2764023442171988</v>
      </c>
      <c r="H9" s="11">
        <f t="shared" si="0"/>
        <v>0.43926309729418545</v>
      </c>
      <c r="I9" s="11">
        <f t="shared" si="8"/>
        <v>3.2763418886257898</v>
      </c>
      <c r="J9" s="11">
        <f t="shared" si="9"/>
        <v>0.13407120264803238</v>
      </c>
      <c r="K9" s="11">
        <f t="shared" si="10"/>
        <v>1</v>
      </c>
      <c r="L9" s="11">
        <f t="shared" si="11"/>
        <v>0.21205795463450031</v>
      </c>
      <c r="M9" s="11">
        <f t="shared" si="1"/>
        <v>10.734812321191956</v>
      </c>
      <c r="N9" s="11">
        <f t="shared" si="2"/>
        <v>0.36017834449781377</v>
      </c>
      <c r="O9" s="11">
        <f t="shared" si="3"/>
        <v>0.18008917224890689</v>
      </c>
    </row>
    <row r="10" spans="1:29" ht="16.5" thickTop="1" thickBot="1" x14ac:dyDescent="0.3">
      <c r="A10" s="10" t="s">
        <v>41</v>
      </c>
      <c r="B10" s="11">
        <f t="shared" si="4"/>
        <v>16937</v>
      </c>
      <c r="C10" s="11">
        <v>24907</v>
      </c>
      <c r="D10" s="11">
        <f t="shared" si="5"/>
        <v>7970</v>
      </c>
      <c r="E10" s="11">
        <v>0.68</v>
      </c>
      <c r="F10" s="11">
        <f t="shared" si="6"/>
        <v>0.31999999999999995</v>
      </c>
      <c r="G10" s="11">
        <f t="shared" si="7"/>
        <v>2.1250941028858219</v>
      </c>
      <c r="H10" s="11">
        <f t="shared" si="0"/>
        <v>0.47058823529411753</v>
      </c>
      <c r="I10" s="11">
        <f t="shared" si="8"/>
        <v>3.1251383865967965</v>
      </c>
      <c r="J10" s="11">
        <f t="shared" si="9"/>
        <v>0.15058156698352715</v>
      </c>
      <c r="K10" s="11">
        <f t="shared" si="10"/>
        <v>1</v>
      </c>
      <c r="L10" s="11">
        <f t="shared" si="11"/>
        <v>0.21759653100282639</v>
      </c>
      <c r="M10" s="11">
        <f t="shared" si="1"/>
        <v>9.7662131518917388</v>
      </c>
      <c r="N10" s="11">
        <f t="shared" si="2"/>
        <v>0.38093872478730523</v>
      </c>
      <c r="O10" s="11">
        <f t="shared" si="3"/>
        <v>0.19046936239365261</v>
      </c>
      <c r="T10" s="13">
        <v>0</v>
      </c>
      <c r="U10" s="13">
        <v>1</v>
      </c>
      <c r="X10" s="13">
        <v>0</v>
      </c>
      <c r="Y10" s="13">
        <v>1</v>
      </c>
      <c r="AB10" s="13">
        <v>0</v>
      </c>
      <c r="AC10" s="13">
        <v>1</v>
      </c>
    </row>
    <row r="11" spans="1:29" ht="16.5" thickTop="1" thickBot="1" x14ac:dyDescent="0.3">
      <c r="A11" s="10" t="s">
        <v>42</v>
      </c>
      <c r="B11" s="11">
        <f t="shared" si="4"/>
        <v>5069</v>
      </c>
      <c r="C11" s="11">
        <v>16304</v>
      </c>
      <c r="D11" s="11">
        <f t="shared" si="5"/>
        <v>11235</v>
      </c>
      <c r="E11" s="11">
        <v>0.31090000000000001</v>
      </c>
      <c r="F11" s="11">
        <f t="shared" si="6"/>
        <v>0.68910000000000005</v>
      </c>
      <c r="G11" s="11">
        <f t="shared" si="7"/>
        <v>0.45117935024477079</v>
      </c>
      <c r="H11" s="11">
        <f t="shared" si="0"/>
        <v>2.2164683177870699</v>
      </c>
      <c r="I11" s="11">
        <f t="shared" si="8"/>
        <v>1.4512040857020609</v>
      </c>
      <c r="J11" s="11">
        <f t="shared" si="9"/>
        <v>1.5273305385677649</v>
      </c>
      <c r="K11" s="11">
        <f t="shared" si="10"/>
        <v>1</v>
      </c>
      <c r="L11" s="11">
        <f t="shared" si="11"/>
        <v>0.21424319417211354</v>
      </c>
      <c r="M11" s="11">
        <f t="shared" si="1"/>
        <v>2.1059215065768351</v>
      </c>
      <c r="N11" s="11">
        <f t="shared" si="2"/>
        <v>1.0513264399008095</v>
      </c>
      <c r="O11" s="11">
        <f t="shared" si="3"/>
        <v>0.52566321995040477</v>
      </c>
      <c r="S11" s="13">
        <v>0</v>
      </c>
      <c r="T11" s="14">
        <f>COUNTIF(H2:H32,"&gt;"&amp;H33)</f>
        <v>21</v>
      </c>
      <c r="U11" s="14">
        <f>COUNTIF(H2:H32,"&lt;"&amp;H33)</f>
        <v>10</v>
      </c>
      <c r="W11" s="13">
        <v>0</v>
      </c>
      <c r="X11" s="14">
        <f>COUNTIF(I2:I32,"&lt;"&amp;I33)</f>
        <v>21</v>
      </c>
      <c r="Y11" s="14">
        <f>COUNTIF(I2:I32,"&gt;"&amp;I33)</f>
        <v>10</v>
      </c>
      <c r="AA11" s="13">
        <v>0</v>
      </c>
      <c r="AB11" s="14">
        <f>COUNTIF(J2:J32,"&gt;"&amp;J33)</f>
        <v>21</v>
      </c>
      <c r="AC11" s="14">
        <f>COUNTIF(J2:J32,"&lt;"&amp;J33)</f>
        <v>10</v>
      </c>
    </row>
    <row r="12" spans="1:29" ht="16.5" thickTop="1" thickBot="1" x14ac:dyDescent="0.3">
      <c r="A12" s="10" t="s">
        <v>46</v>
      </c>
      <c r="B12" s="11">
        <f t="shared" si="4"/>
        <v>13740</v>
      </c>
      <c r="C12" s="11">
        <v>29105</v>
      </c>
      <c r="D12" s="11">
        <f t="shared" si="5"/>
        <v>15365</v>
      </c>
      <c r="E12" s="11">
        <v>0.47210000000000002</v>
      </c>
      <c r="F12" s="11">
        <f t="shared" si="6"/>
        <v>0.52790000000000004</v>
      </c>
      <c r="G12" s="11">
        <f t="shared" si="7"/>
        <v>0.89424015619915387</v>
      </c>
      <c r="H12" s="11">
        <f t="shared" si="0"/>
        <v>1.1181952976064393</v>
      </c>
      <c r="I12" s="11">
        <f t="shared" si="8"/>
        <v>1.8941752937918954</v>
      </c>
      <c r="J12" s="11">
        <f t="shared" si="9"/>
        <v>0.59033358806404668</v>
      </c>
      <c r="K12" s="11">
        <f t="shared" si="10"/>
        <v>1</v>
      </c>
      <c r="L12" s="11">
        <f t="shared" si="11"/>
        <v>0.24922068769778669</v>
      </c>
      <c r="M12" s="11">
        <f t="shared" si="1"/>
        <v>3.588145769357395</v>
      </c>
      <c r="N12" s="11">
        <f t="shared" si="2"/>
        <v>0.71723655035593414</v>
      </c>
      <c r="O12" s="11">
        <f t="shared" si="3"/>
        <v>0.35861827517796707</v>
      </c>
      <c r="S12" s="13">
        <v>1</v>
      </c>
      <c r="T12" s="14">
        <f>COUNTIF(H36:H105,"&gt;"&amp;H33)</f>
        <v>7</v>
      </c>
      <c r="U12" s="14">
        <f>COUNTIF(H36:H105,"&lt;"&amp;H33)</f>
        <v>63</v>
      </c>
      <c r="W12" s="13">
        <v>1</v>
      </c>
      <c r="X12" s="14">
        <f>COUNTIF(I36:I105,"&lt;"&amp;I33)</f>
        <v>7</v>
      </c>
      <c r="Y12" s="14">
        <f>COUNTIF(I36:I105,"&gt;"&amp;I33)</f>
        <v>63</v>
      </c>
      <c r="AA12" s="13">
        <v>1</v>
      </c>
      <c r="AB12" s="14">
        <f>COUNTIF(J36:J105,"&gt;"&amp;J33)</f>
        <v>7</v>
      </c>
      <c r="AC12" s="14">
        <f>COUNTIF(J36:J105,"&lt;"&amp;J33)</f>
        <v>63</v>
      </c>
    </row>
    <row r="13" spans="1:29" ht="16.5" thickTop="1" thickBot="1" x14ac:dyDescent="0.3">
      <c r="A13" s="10" t="s">
        <v>47</v>
      </c>
      <c r="B13" s="11">
        <f t="shared" si="4"/>
        <v>7280</v>
      </c>
      <c r="C13" s="11">
        <v>22830</v>
      </c>
      <c r="D13" s="11">
        <f t="shared" si="5"/>
        <v>15550</v>
      </c>
      <c r="E13" s="11">
        <v>0.31890000000000002</v>
      </c>
      <c r="F13" s="11">
        <f t="shared" si="6"/>
        <v>0.68110000000000004</v>
      </c>
      <c r="G13" s="11">
        <f t="shared" si="7"/>
        <v>0.46816720257234729</v>
      </c>
      <c r="H13" s="11">
        <f t="shared" si="0"/>
        <v>2.1357792411414236</v>
      </c>
      <c r="I13" s="11">
        <f t="shared" si="8"/>
        <v>1.4680689952096182</v>
      </c>
      <c r="J13" s="11">
        <f t="shared" si="9"/>
        <v>1.4548221153846155</v>
      </c>
      <c r="K13" s="11">
        <f t="shared" si="10"/>
        <v>1</v>
      </c>
      <c r="L13" s="11">
        <f t="shared" si="11"/>
        <v>0.21719506324623389</v>
      </c>
      <c r="M13" s="11">
        <f t="shared" si="1"/>
        <v>2.1555149347091116</v>
      </c>
      <c r="N13" s="11">
        <f t="shared" si="2"/>
        <v>1.032879442045832</v>
      </c>
      <c r="O13" s="11">
        <f t="shared" si="3"/>
        <v>0.51643972102291602</v>
      </c>
    </row>
    <row r="14" spans="1:29" ht="16.5" thickTop="1" thickBot="1" x14ac:dyDescent="0.3">
      <c r="A14" s="10" t="s">
        <v>51</v>
      </c>
      <c r="B14" s="11">
        <f t="shared" si="4"/>
        <v>1963</v>
      </c>
      <c r="C14" s="11">
        <v>16397</v>
      </c>
      <c r="D14" s="11">
        <f t="shared" si="5"/>
        <v>14434</v>
      </c>
      <c r="E14" s="11">
        <v>0.1197</v>
      </c>
      <c r="F14" s="11">
        <f t="shared" si="6"/>
        <v>0.88029999999999997</v>
      </c>
      <c r="G14" s="11">
        <f t="shared" si="7"/>
        <v>0.13599833725924901</v>
      </c>
      <c r="H14" s="11">
        <f t="shared" si="0"/>
        <v>7.3542188805346695</v>
      </c>
      <c r="I14" s="11">
        <f t="shared" si="8"/>
        <v>1.1361598768525398</v>
      </c>
      <c r="J14" s="11">
        <f t="shared" si="9"/>
        <v>6.4728732552215984</v>
      </c>
      <c r="K14" s="11">
        <f t="shared" si="10"/>
        <v>1</v>
      </c>
      <c r="L14" s="11">
        <f t="shared" si="11"/>
        <v>0.10538485619194521</v>
      </c>
      <c r="M14" s="11">
        <f t="shared" si="1"/>
        <v>1.2904922222557784</v>
      </c>
      <c r="N14" s="11">
        <f t="shared" si="2"/>
        <v>1.5723311546840959</v>
      </c>
      <c r="O14" s="11">
        <f t="shared" si="3"/>
        <v>0.78616557734204795</v>
      </c>
    </row>
    <row r="15" spans="1:29" ht="16.5" thickTop="1" thickBot="1" x14ac:dyDescent="0.3">
      <c r="A15" s="10" t="s">
        <v>52</v>
      </c>
      <c r="B15" s="11">
        <f t="shared" si="4"/>
        <v>5313</v>
      </c>
      <c r="C15" s="11">
        <v>26485</v>
      </c>
      <c r="D15" s="11">
        <f t="shared" si="5"/>
        <v>21172</v>
      </c>
      <c r="E15" s="11">
        <v>0.2006</v>
      </c>
      <c r="F15" s="11">
        <f t="shared" si="6"/>
        <v>0.7994</v>
      </c>
      <c r="G15" s="11">
        <f t="shared" si="7"/>
        <v>0.2509446438692613</v>
      </c>
      <c r="H15" s="11">
        <f t="shared" si="0"/>
        <v>3.9850448654037884</v>
      </c>
      <c r="I15" s="11">
        <f t="shared" si="8"/>
        <v>1.2509703084210433</v>
      </c>
      <c r="J15" s="11">
        <f t="shared" si="9"/>
        <v>3.1855631093544137</v>
      </c>
      <c r="K15" s="11">
        <f t="shared" si="10"/>
        <v>1</v>
      </c>
      <c r="L15" s="11">
        <f t="shared" si="11"/>
        <v>0.16036210436667572</v>
      </c>
      <c r="M15" s="11">
        <f t="shared" si="1"/>
        <v>1.5648625020251929</v>
      </c>
      <c r="N15" s="11">
        <f t="shared" si="2"/>
        <v>1.3316560789986791</v>
      </c>
      <c r="O15" s="11">
        <f t="shared" si="3"/>
        <v>0.66582803949933955</v>
      </c>
    </row>
    <row r="16" spans="1:29" ht="16.5" thickTop="1" thickBot="1" x14ac:dyDescent="0.3">
      <c r="A16" s="10" t="s">
        <v>62</v>
      </c>
      <c r="B16" s="11">
        <f t="shared" si="4"/>
        <v>5023</v>
      </c>
      <c r="C16" s="11">
        <v>12003</v>
      </c>
      <c r="D16" s="11">
        <f t="shared" si="5"/>
        <v>6980</v>
      </c>
      <c r="E16" s="11">
        <v>0.41849999999999998</v>
      </c>
      <c r="F16" s="11">
        <f t="shared" si="6"/>
        <v>0.58150000000000002</v>
      </c>
      <c r="G16" s="11">
        <f t="shared" si="7"/>
        <v>0.7196275071633238</v>
      </c>
      <c r="H16" s="11">
        <f t="shared" si="0"/>
        <v>1.3894862604540026</v>
      </c>
      <c r="I16" s="11">
        <f t="shared" si="8"/>
        <v>1.7195400410115265</v>
      </c>
      <c r="J16" s="11">
        <f t="shared" si="9"/>
        <v>0.80805693808480983</v>
      </c>
      <c r="K16" s="11">
        <f t="shared" si="10"/>
        <v>1</v>
      </c>
      <c r="L16" s="11">
        <f t="shared" si="11"/>
        <v>0.24335427987264341</v>
      </c>
      <c r="M16" s="11">
        <f t="shared" si="1"/>
        <v>2.9571187633927472</v>
      </c>
      <c r="N16" s="11">
        <f t="shared" si="2"/>
        <v>0.81992247151415487</v>
      </c>
      <c r="O16" s="11">
        <f t="shared" si="3"/>
        <v>0.40996123575707744</v>
      </c>
    </row>
    <row r="17" spans="1:25" ht="16.5" thickTop="1" thickBot="1" x14ac:dyDescent="0.3">
      <c r="A17" s="10" t="s">
        <v>77</v>
      </c>
      <c r="B17" s="11">
        <f t="shared" si="4"/>
        <v>6114</v>
      </c>
      <c r="C17" s="11">
        <v>19666</v>
      </c>
      <c r="D17" s="11">
        <f t="shared" si="5"/>
        <v>13552</v>
      </c>
      <c r="E17" s="11">
        <v>0.31090000000000001</v>
      </c>
      <c r="F17" s="11">
        <f t="shared" si="6"/>
        <v>0.68910000000000005</v>
      </c>
      <c r="G17" s="11">
        <f t="shared" si="7"/>
        <v>0.45115112160566706</v>
      </c>
      <c r="H17" s="11">
        <f t="shared" si="0"/>
        <v>2.2164683177870699</v>
      </c>
      <c r="I17" s="11">
        <f t="shared" si="8"/>
        <v>1.4511132891787297</v>
      </c>
      <c r="J17" s="11">
        <f t="shared" si="9"/>
        <v>1.5274261040235526</v>
      </c>
      <c r="K17" s="11">
        <f t="shared" si="10"/>
        <v>1</v>
      </c>
      <c r="L17" s="11">
        <f t="shared" si="11"/>
        <v>0.21423812448733884</v>
      </c>
      <c r="M17" s="11">
        <f t="shared" si="1"/>
        <v>2.1058395777373855</v>
      </c>
      <c r="N17" s="11">
        <f t="shared" si="2"/>
        <v>1.0513576415826222</v>
      </c>
      <c r="O17" s="11">
        <f t="shared" si="3"/>
        <v>0.52567882079131112</v>
      </c>
    </row>
    <row r="18" spans="1:25" ht="16.5" thickTop="1" thickBot="1" x14ac:dyDescent="0.3">
      <c r="A18" s="10" t="s">
        <v>83</v>
      </c>
      <c r="B18" s="11">
        <f t="shared" si="4"/>
        <v>12392</v>
      </c>
      <c r="C18" s="11">
        <v>19704</v>
      </c>
      <c r="D18" s="11">
        <f t="shared" si="5"/>
        <v>7312</v>
      </c>
      <c r="E18" s="11">
        <v>0.62890000000000001</v>
      </c>
      <c r="F18" s="11">
        <f t="shared" si="6"/>
        <v>0.37109999999999999</v>
      </c>
      <c r="G18" s="11">
        <f t="shared" si="7"/>
        <v>1.6947483588621444</v>
      </c>
      <c r="H18" s="11">
        <f t="shared" si="0"/>
        <v>0.59007791381777708</v>
      </c>
      <c r="I18" s="11">
        <f t="shared" si="8"/>
        <v>2.6947819349056199</v>
      </c>
      <c r="J18" s="11">
        <f t="shared" si="9"/>
        <v>0.21897056165267914</v>
      </c>
      <c r="K18" s="11">
        <f t="shared" si="10"/>
        <v>1</v>
      </c>
      <c r="L18" s="11">
        <f t="shared" si="11"/>
        <v>0.23338276982491504</v>
      </c>
      <c r="M18" s="11">
        <f t="shared" si="1"/>
        <v>7.2616687175902204</v>
      </c>
      <c r="N18" s="11">
        <f t="shared" si="2"/>
        <v>0.4556331006979063</v>
      </c>
      <c r="O18" s="11">
        <f t="shared" si="3"/>
        <v>0.22781655034895315</v>
      </c>
      <c r="T18" s="8" t="s">
        <v>108</v>
      </c>
      <c r="U18" s="8" t="s">
        <v>357</v>
      </c>
      <c r="V18" s="8" t="s">
        <v>358</v>
      </c>
      <c r="W18" s="8" t="s">
        <v>359</v>
      </c>
      <c r="X18" s="8" t="s">
        <v>360</v>
      </c>
      <c r="Y18" s="8" t="s">
        <v>361</v>
      </c>
    </row>
    <row r="19" spans="1:25" ht="16.5" thickTop="1" thickBot="1" x14ac:dyDescent="0.3">
      <c r="A19" s="10" t="s">
        <v>90</v>
      </c>
      <c r="B19" s="11">
        <f t="shared" si="4"/>
        <v>27433</v>
      </c>
      <c r="C19" s="11">
        <v>31064</v>
      </c>
      <c r="D19" s="11">
        <f t="shared" si="5"/>
        <v>3631</v>
      </c>
      <c r="E19" s="11">
        <v>0.8831</v>
      </c>
      <c r="F19" s="11">
        <f t="shared" si="6"/>
        <v>0.1169</v>
      </c>
      <c r="G19" s="11">
        <f t="shared" si="7"/>
        <v>7.5552189479482239</v>
      </c>
      <c r="H19" s="11">
        <f t="shared" si="0"/>
        <v>0.1323745895142113</v>
      </c>
      <c r="I19" s="11">
        <f t="shared" si="8"/>
        <v>8.5553379548728614</v>
      </c>
      <c r="J19" s="11">
        <f t="shared" si="9"/>
        <v>1.5472748150038275E-2</v>
      </c>
      <c r="K19" s="11">
        <f t="shared" si="10"/>
        <v>1</v>
      </c>
      <c r="L19" s="11">
        <f t="shared" si="11"/>
        <v>0.10322497760598458</v>
      </c>
      <c r="M19" s="11">
        <f t="shared" si="1"/>
        <v>73.191771247332312</v>
      </c>
      <c r="N19" s="11">
        <f t="shared" si="2"/>
        <v>0.12414311845051883</v>
      </c>
      <c r="O19" s="11">
        <f t="shared" si="3"/>
        <v>6.2071559225259414E-2</v>
      </c>
    </row>
    <row r="20" spans="1:25" ht="16.5" thickTop="1" thickBot="1" x14ac:dyDescent="0.3">
      <c r="A20" s="10" t="s">
        <v>94</v>
      </c>
      <c r="B20" s="11">
        <f t="shared" si="4"/>
        <v>4156</v>
      </c>
      <c r="C20" s="11">
        <v>19002</v>
      </c>
      <c r="D20" s="11">
        <f t="shared" si="5"/>
        <v>14846</v>
      </c>
      <c r="E20" s="11">
        <v>0.21870000000000001</v>
      </c>
      <c r="F20" s="11">
        <f t="shared" si="6"/>
        <v>0.78129999999999999</v>
      </c>
      <c r="G20" s="11">
        <f t="shared" si="7"/>
        <v>0.27994072477435</v>
      </c>
      <c r="H20" s="11">
        <f t="shared" si="0"/>
        <v>3.5724737082761773</v>
      </c>
      <c r="I20" s="11">
        <f t="shared" si="8"/>
        <v>1.2800216039064929</v>
      </c>
      <c r="J20" s="11">
        <f t="shared" si="9"/>
        <v>2.7909479788257938</v>
      </c>
      <c r="K20" s="11">
        <f t="shared" si="10"/>
        <v>1</v>
      </c>
      <c r="L20" s="11">
        <f t="shared" si="11"/>
        <v>0.17087808471481811</v>
      </c>
      <c r="M20" s="11">
        <f t="shared" si="1"/>
        <v>1.6382482589358884</v>
      </c>
      <c r="N20" s="11">
        <f t="shared" si="2"/>
        <v>1.2821487175058295</v>
      </c>
      <c r="O20" s="11">
        <f t="shared" si="3"/>
        <v>0.64107435875291474</v>
      </c>
      <c r="S20" s="8" t="s">
        <v>367</v>
      </c>
      <c r="T20" s="11">
        <f>(T4+U5)/(T4+U4+U5+T5)</f>
        <v>0.83168316831683164</v>
      </c>
      <c r="U20" s="11">
        <f>U5/(U5+T5)</f>
        <v>0.9</v>
      </c>
      <c r="V20" s="11">
        <f>T4/(T4+U4)</f>
        <v>0.67741935483870963</v>
      </c>
      <c r="W20" s="11">
        <f>U5/(U5+U4)</f>
        <v>0.86301369863013699</v>
      </c>
      <c r="X20" s="11">
        <f>T4/(T4+T5)</f>
        <v>0.75</v>
      </c>
      <c r="Y20" s="11">
        <f t="shared" ref="Y20:Y25" si="12">2*W20*U20/(W20+U20)</f>
        <v>0.88111888111888104</v>
      </c>
    </row>
    <row r="21" spans="1:25" ht="16.5" thickTop="1" thickBot="1" x14ac:dyDescent="0.3">
      <c r="A21" s="10" t="s">
        <v>95</v>
      </c>
      <c r="B21" s="11">
        <f t="shared" si="4"/>
        <v>7393</v>
      </c>
      <c r="C21" s="11">
        <v>19938</v>
      </c>
      <c r="D21" s="11">
        <f t="shared" si="5"/>
        <v>12545</v>
      </c>
      <c r="E21" s="11">
        <v>0.37080000000000002</v>
      </c>
      <c r="F21" s="11">
        <f t="shared" si="6"/>
        <v>0.62919999999999998</v>
      </c>
      <c r="G21" s="11">
        <f t="shared" si="7"/>
        <v>0.58931845356715828</v>
      </c>
      <c r="H21" s="11">
        <f t="shared" si="0"/>
        <v>1.6968716289104637</v>
      </c>
      <c r="I21" s="11">
        <f t="shared" si="8"/>
        <v>1.5893162178186577</v>
      </c>
      <c r="J21" s="11">
        <f t="shared" si="9"/>
        <v>1.0676740159610441</v>
      </c>
      <c r="K21" s="11">
        <f t="shared" si="10"/>
        <v>1</v>
      </c>
      <c r="L21" s="11">
        <f t="shared" si="11"/>
        <v>0.23330722521389183</v>
      </c>
      <c r="M21" s="11">
        <f t="shared" si="1"/>
        <v>2.5259331468491033</v>
      </c>
      <c r="N21" s="11">
        <f t="shared" si="2"/>
        <v>0.91800519556547511</v>
      </c>
      <c r="O21" s="11">
        <f t="shared" si="3"/>
        <v>0.45900259778273755</v>
      </c>
      <c r="S21" s="8" t="s">
        <v>368</v>
      </c>
      <c r="T21" s="11">
        <f>(X4+Y5)/(X4+Y4+Y5+X5)</f>
        <v>0.83168316831683164</v>
      </c>
      <c r="U21" s="11">
        <f>Y5/(Y5+X5)</f>
        <v>0.9</v>
      </c>
      <c r="V21" s="11">
        <f>X4/(X4+Y4)</f>
        <v>0.67741935483870963</v>
      </c>
      <c r="W21" s="11">
        <f>Y5/(Y5+Y4)</f>
        <v>0.86301369863013699</v>
      </c>
      <c r="X21" s="11">
        <f>X4/(X4+X5)</f>
        <v>0.75</v>
      </c>
      <c r="Y21" s="11">
        <f>2*W21*U21/(W21+U21)</f>
        <v>0.88111888111888104</v>
      </c>
    </row>
    <row r="22" spans="1:25" ht="16.5" thickTop="1" thickBot="1" x14ac:dyDescent="0.3">
      <c r="A22" s="10" t="s">
        <v>96</v>
      </c>
      <c r="B22" s="11">
        <f t="shared" si="4"/>
        <v>14858</v>
      </c>
      <c r="C22" s="11">
        <v>34821</v>
      </c>
      <c r="D22" s="11">
        <f t="shared" si="5"/>
        <v>19963</v>
      </c>
      <c r="E22" s="11">
        <v>0.42670000000000002</v>
      </c>
      <c r="F22" s="11">
        <f t="shared" si="6"/>
        <v>0.57329999999999992</v>
      </c>
      <c r="G22" s="11">
        <f t="shared" si="7"/>
        <v>0.7442769122877323</v>
      </c>
      <c r="H22" s="11">
        <f t="shared" si="0"/>
        <v>1.3435669088352469</v>
      </c>
      <c r="I22" s="11">
        <f t="shared" si="8"/>
        <v>1.7442627426476032</v>
      </c>
      <c r="J22" s="11">
        <f t="shared" si="9"/>
        <v>0.770277823394804</v>
      </c>
      <c r="K22" s="11">
        <f t="shared" si="10"/>
        <v>1</v>
      </c>
      <c r="L22" s="11">
        <f t="shared" si="11"/>
        <v>0.24462660182854076</v>
      </c>
      <c r="M22" s="11">
        <f t="shared" si="1"/>
        <v>3.0425019467400252</v>
      </c>
      <c r="N22" s="11">
        <f t="shared" si="2"/>
        <v>0.80367962318082087</v>
      </c>
      <c r="O22" s="11">
        <f t="shared" si="3"/>
        <v>0.40183981159041043</v>
      </c>
      <c r="S22" s="8" t="s">
        <v>369</v>
      </c>
      <c r="T22" s="11">
        <f>(AB4+AC5)/(AB4+AC4+AC5+AB5)</f>
        <v>0.83168316831683164</v>
      </c>
      <c r="U22" s="11">
        <f>AC5/(AB5+AC5)</f>
        <v>0.9</v>
      </c>
      <c r="V22" s="11">
        <f>AB4/(AB4+AC4)</f>
        <v>0.67741935483870963</v>
      </c>
      <c r="W22" s="11">
        <f>AC5/(AC5+AC4)</f>
        <v>0.86301369863013699</v>
      </c>
      <c r="X22" s="11">
        <f>AB4/(AB4+AB5)</f>
        <v>0.75</v>
      </c>
      <c r="Y22" s="11">
        <f t="shared" si="12"/>
        <v>0.88111888111888104</v>
      </c>
    </row>
    <row r="23" spans="1:25" ht="16.5" thickTop="1" thickBot="1" x14ac:dyDescent="0.3">
      <c r="A23" s="10" t="s">
        <v>97</v>
      </c>
      <c r="B23" s="11">
        <f t="shared" si="4"/>
        <v>5436</v>
      </c>
      <c r="C23" s="11">
        <v>20843</v>
      </c>
      <c r="D23" s="11">
        <f t="shared" si="5"/>
        <v>15407</v>
      </c>
      <c r="E23" s="11">
        <v>0.26079999999999998</v>
      </c>
      <c r="F23" s="11">
        <f t="shared" si="6"/>
        <v>0.73920000000000008</v>
      </c>
      <c r="G23" s="11">
        <f t="shared" si="7"/>
        <v>0.35282663724281171</v>
      </c>
      <c r="H23" s="11">
        <f t="shared" si="0"/>
        <v>2.8343558282208594</v>
      </c>
      <c r="I23" s="11">
        <f t="shared" si="8"/>
        <v>1.3528628728635419</v>
      </c>
      <c r="J23" s="11">
        <f t="shared" si="9"/>
        <v>2.0950799116997794</v>
      </c>
      <c r="K23" s="11">
        <f t="shared" si="10"/>
        <v>1</v>
      </c>
      <c r="L23" s="11">
        <f t="shared" si="11"/>
        <v>0.19278670184248442</v>
      </c>
      <c r="M23" s="11">
        <f t="shared" si="1"/>
        <v>1.8301399104336942</v>
      </c>
      <c r="N23" s="11">
        <f t="shared" si="2"/>
        <v>1.1725712546139504</v>
      </c>
      <c r="O23" s="11">
        <f t="shared" si="3"/>
        <v>0.5862856273069752</v>
      </c>
      <c r="S23" s="8" t="s">
        <v>370</v>
      </c>
      <c r="T23" s="11">
        <f>(T11+U12)/(T11+U11+U12+T12)</f>
        <v>0.83168316831683164</v>
      </c>
      <c r="U23" s="11">
        <f>U12/(U12+T12)</f>
        <v>0.9</v>
      </c>
      <c r="V23" s="11">
        <f>T11/(T11+U11)</f>
        <v>0.67741935483870963</v>
      </c>
      <c r="W23" s="11">
        <f>U12/(U12+U11)</f>
        <v>0.86301369863013699</v>
      </c>
      <c r="X23" s="11">
        <f>T11/(T11+T12)</f>
        <v>0.75</v>
      </c>
      <c r="Y23" s="11">
        <f t="shared" si="12"/>
        <v>0.88111888111888104</v>
      </c>
    </row>
    <row r="24" spans="1:25" ht="16.5" thickTop="1" thickBot="1" x14ac:dyDescent="0.3">
      <c r="A24" s="10" t="s">
        <v>98</v>
      </c>
      <c r="B24" s="11">
        <f t="shared" si="4"/>
        <v>7580</v>
      </c>
      <c r="C24" s="11">
        <v>27139</v>
      </c>
      <c r="D24" s="11">
        <f t="shared" si="5"/>
        <v>19559</v>
      </c>
      <c r="E24" s="11">
        <v>0.27929999999999999</v>
      </c>
      <c r="F24" s="11">
        <f t="shared" si="6"/>
        <v>0.72070000000000001</v>
      </c>
      <c r="G24" s="11">
        <f t="shared" si="7"/>
        <v>0.38754537553044632</v>
      </c>
      <c r="H24" s="11">
        <f t="shared" si="0"/>
        <v>2.5803795202291444</v>
      </c>
      <c r="I24" s="11">
        <f t="shared" si="8"/>
        <v>1.387559525708723</v>
      </c>
      <c r="J24" s="11">
        <f t="shared" si="9"/>
        <v>1.8596532058047495</v>
      </c>
      <c r="K24" s="11">
        <f t="shared" si="10"/>
        <v>1</v>
      </c>
      <c r="L24" s="11">
        <f t="shared" si="11"/>
        <v>0.20129276723128436</v>
      </c>
      <c r="M24" s="11">
        <f t="shared" si="1"/>
        <v>1.9252821691559274</v>
      </c>
      <c r="N24" s="11">
        <f t="shared" si="2"/>
        <v>1.1267029580345056</v>
      </c>
      <c r="O24" s="11">
        <f t="shared" si="3"/>
        <v>0.5633514790172528</v>
      </c>
      <c r="S24" s="8" t="s">
        <v>371</v>
      </c>
      <c r="T24" s="11">
        <f>(X11+Y12)/(X11+Y11+Y12+X12)</f>
        <v>0.83168316831683164</v>
      </c>
      <c r="U24" s="11">
        <f>Y12/(Y12+X12)</f>
        <v>0.9</v>
      </c>
      <c r="V24" s="11">
        <f>X11/(X11+Y11)</f>
        <v>0.67741935483870963</v>
      </c>
      <c r="W24" s="11">
        <f>Y12/(Y12+Y11)</f>
        <v>0.86301369863013699</v>
      </c>
      <c r="X24" s="11">
        <f>X11/(X11+X12)</f>
        <v>0.75</v>
      </c>
      <c r="Y24" s="11">
        <f t="shared" si="12"/>
        <v>0.88111888111888104</v>
      </c>
    </row>
    <row r="25" spans="1:25" ht="16.5" thickTop="1" thickBot="1" x14ac:dyDescent="0.3">
      <c r="A25" s="10" t="s">
        <v>99</v>
      </c>
      <c r="B25" s="11">
        <f t="shared" si="4"/>
        <v>2369</v>
      </c>
      <c r="C25" s="11">
        <v>16461</v>
      </c>
      <c r="D25" s="11">
        <f t="shared" si="5"/>
        <v>14092</v>
      </c>
      <c r="E25" s="11">
        <v>0.1439</v>
      </c>
      <c r="F25" s="11">
        <f t="shared" si="6"/>
        <v>0.85609999999999997</v>
      </c>
      <c r="G25" s="11">
        <f t="shared" si="7"/>
        <v>0.16810956571104171</v>
      </c>
      <c r="H25" s="11">
        <f t="shared" si="0"/>
        <v>5.9492703266157054</v>
      </c>
      <c r="I25" s="11">
        <f t="shared" si="8"/>
        <v>1.1682388166159952</v>
      </c>
      <c r="J25" s="11">
        <f t="shared" si="9"/>
        <v>5.0925121148163788</v>
      </c>
      <c r="K25" s="11">
        <f t="shared" si="10"/>
        <v>1</v>
      </c>
      <c r="L25" s="11">
        <f t="shared" si="11"/>
        <v>0.12320412973918456</v>
      </c>
      <c r="M25" s="11">
        <f t="shared" si="1"/>
        <v>1.3644799575056386</v>
      </c>
      <c r="N25" s="11">
        <f t="shared" si="2"/>
        <v>1.49676048858205</v>
      </c>
      <c r="O25" s="11">
        <f t="shared" si="3"/>
        <v>0.74838024429102501</v>
      </c>
      <c r="S25" s="8" t="s">
        <v>353</v>
      </c>
      <c r="T25" s="11">
        <f>(AB11+AC12)/(AB11+AC11+AC12+AB12)</f>
        <v>0.83168316831683164</v>
      </c>
      <c r="U25" s="11">
        <f>AC12/(AB12+AC12)</f>
        <v>0.9</v>
      </c>
      <c r="V25" s="11">
        <f>AB11/(AB11+AC11)</f>
        <v>0.67741935483870963</v>
      </c>
      <c r="W25" s="11">
        <f>AC12/(AC12+AC11)</f>
        <v>0.86301369863013699</v>
      </c>
      <c r="X25" s="11">
        <f>AB11/(AB11+AB12)</f>
        <v>0.75</v>
      </c>
      <c r="Y25" s="11">
        <f t="shared" si="12"/>
        <v>0.88111888111888104</v>
      </c>
    </row>
    <row r="26" spans="1:25" ht="16.5" thickTop="1" thickBot="1" x14ac:dyDescent="0.3">
      <c r="A26" s="10" t="s">
        <v>100</v>
      </c>
      <c r="B26" s="11">
        <f t="shared" si="4"/>
        <v>7450</v>
      </c>
      <c r="C26" s="11">
        <v>20006</v>
      </c>
      <c r="D26" s="11">
        <f t="shared" si="5"/>
        <v>12556</v>
      </c>
      <c r="E26" s="11">
        <v>0.37240000000000001</v>
      </c>
      <c r="F26" s="11">
        <f t="shared" si="6"/>
        <v>0.62759999999999994</v>
      </c>
      <c r="G26" s="11">
        <f t="shared" si="7"/>
        <v>0.59334182860783691</v>
      </c>
      <c r="H26" s="11">
        <f t="shared" si="0"/>
        <v>1.685284640171858</v>
      </c>
      <c r="I26" s="11">
        <f t="shared" si="8"/>
        <v>1.5932916987321077</v>
      </c>
      <c r="J26" s="11">
        <f t="shared" si="9"/>
        <v>1.05773766442953</v>
      </c>
      <c r="K26" s="11">
        <f t="shared" si="10"/>
        <v>1</v>
      </c>
      <c r="L26" s="11">
        <f t="shared" si="11"/>
        <v>0.23371524981573807</v>
      </c>
      <c r="M26" s="11">
        <f t="shared" si="1"/>
        <v>2.5387381827913655</v>
      </c>
      <c r="N26" s="11">
        <f t="shared" si="2"/>
        <v>0.91462703962703962</v>
      </c>
      <c r="O26" s="11">
        <f t="shared" si="3"/>
        <v>0.45731351981351981</v>
      </c>
      <c r="S26" s="8" t="s">
        <v>373</v>
      </c>
      <c r="T26" s="11">
        <f>(T40+U41)/(T40+U40+U41+T41)</f>
        <v>0.83168316831683164</v>
      </c>
      <c r="U26" s="11">
        <f>U41/(U41+T41)</f>
        <v>0.9</v>
      </c>
      <c r="V26" s="11">
        <f>T40/(T40+U40)</f>
        <v>0.67741935483870963</v>
      </c>
      <c r="W26" s="11">
        <f>U41/(U41+U40)</f>
        <v>0.86301369863013699</v>
      </c>
      <c r="X26" s="11">
        <f>T40/(T40+T41)</f>
        <v>0.75</v>
      </c>
      <c r="Y26" s="11">
        <f>(2*W26*U26)/(W26+U26)</f>
        <v>0.88111888111888104</v>
      </c>
    </row>
    <row r="27" spans="1:25" ht="16.5" thickTop="1" thickBot="1" x14ac:dyDescent="0.3">
      <c r="A27" s="10" t="s">
        <v>101</v>
      </c>
      <c r="B27" s="11">
        <f t="shared" si="4"/>
        <v>3765</v>
      </c>
      <c r="C27" s="11">
        <v>18947</v>
      </c>
      <c r="D27" s="11">
        <f t="shared" si="5"/>
        <v>15182</v>
      </c>
      <c r="E27" s="11">
        <v>0.19869999999999999</v>
      </c>
      <c r="F27" s="11">
        <f t="shared" si="6"/>
        <v>0.80130000000000001</v>
      </c>
      <c r="G27" s="11">
        <f t="shared" si="7"/>
        <v>0.24799104202344882</v>
      </c>
      <c r="H27" s="11">
        <f t="shared" si="0"/>
        <v>4.0327126321087068</v>
      </c>
      <c r="I27" s="11">
        <f t="shared" si="8"/>
        <v>1.248067649841212</v>
      </c>
      <c r="J27" s="11">
        <f t="shared" si="9"/>
        <v>3.2311650996015935</v>
      </c>
      <c r="K27" s="11">
        <f t="shared" si="10"/>
        <v>1</v>
      </c>
      <c r="L27" s="11">
        <f t="shared" si="11"/>
        <v>0.15922565987286807</v>
      </c>
      <c r="M27" s="11">
        <f t="shared" si="1"/>
        <v>1.5574816409707737</v>
      </c>
      <c r="N27" s="11">
        <f t="shared" si="2"/>
        <v>1.3369144064811553</v>
      </c>
      <c r="O27" s="11">
        <f t="shared" si="3"/>
        <v>0.66845720324057767</v>
      </c>
      <c r="S27" s="8" t="s">
        <v>378</v>
      </c>
      <c r="T27" s="11">
        <f>(X40+Y41)/(X40+Y40+Y41+X41)</f>
        <v>0.83168316831683164</v>
      </c>
      <c r="U27" s="11">
        <f>Y41/(Y41+X41)</f>
        <v>0.9</v>
      </c>
      <c r="V27" s="11">
        <f>X40/(X40+Y40)</f>
        <v>0.67741935483870963</v>
      </c>
      <c r="W27" s="11">
        <f>Y41/(Y41+Y40)</f>
        <v>0.86301369863013699</v>
      </c>
      <c r="X27" s="11">
        <f>X40/(X40+X41)</f>
        <v>0.75</v>
      </c>
      <c r="Y27" s="11">
        <f>(2*W27*U27)/(W27+U27)</f>
        <v>0.88111888111888104</v>
      </c>
    </row>
    <row r="28" spans="1:25" ht="16.5" thickTop="1" thickBot="1" x14ac:dyDescent="0.3">
      <c r="A28" s="10" t="s">
        <v>102</v>
      </c>
      <c r="B28" s="11">
        <f t="shared" si="4"/>
        <v>16222</v>
      </c>
      <c r="C28" s="11">
        <v>28310</v>
      </c>
      <c r="D28" s="11">
        <f t="shared" si="5"/>
        <v>12088</v>
      </c>
      <c r="E28" s="11">
        <v>0.57299999999999995</v>
      </c>
      <c r="F28" s="11">
        <f t="shared" si="6"/>
        <v>0.42700000000000005</v>
      </c>
      <c r="G28" s="11">
        <f t="shared" si="7"/>
        <v>1.3419920582395763</v>
      </c>
      <c r="H28" s="11">
        <f t="shared" si="0"/>
        <v>0.74520069808027933</v>
      </c>
      <c r="I28" s="11">
        <f t="shared" si="8"/>
        <v>2.3420454768578995</v>
      </c>
      <c r="J28" s="11">
        <f t="shared" si="9"/>
        <v>0.31818370114659111</v>
      </c>
      <c r="K28" s="11">
        <f t="shared" si="10"/>
        <v>1</v>
      </c>
      <c r="L28" s="11">
        <f t="shared" si="11"/>
        <v>0.244669091669525</v>
      </c>
      <c r="M28" s="11">
        <f t="shared" si="1"/>
        <v>5.4849268008572478</v>
      </c>
      <c r="N28" s="11">
        <f t="shared" si="2"/>
        <v>0.54289050570376363</v>
      </c>
      <c r="O28" s="11">
        <f t="shared" si="3"/>
        <v>0.27144525285188181</v>
      </c>
    </row>
    <row r="29" spans="1:25" ht="16.5" thickTop="1" thickBot="1" x14ac:dyDescent="0.3">
      <c r="A29" s="10" t="s">
        <v>103</v>
      </c>
      <c r="B29" s="11">
        <f t="shared" si="4"/>
        <v>12308</v>
      </c>
      <c r="C29" s="11">
        <v>29904</v>
      </c>
      <c r="D29" s="11">
        <f t="shared" si="5"/>
        <v>17596</v>
      </c>
      <c r="E29" s="11">
        <v>0.41160000000000002</v>
      </c>
      <c r="F29" s="11">
        <f t="shared" si="6"/>
        <v>0.58840000000000003</v>
      </c>
      <c r="G29" s="11">
        <f t="shared" si="7"/>
        <v>0.69947715389861331</v>
      </c>
      <c r="H29" s="11">
        <f t="shared" si="0"/>
        <v>1.4295432458697765</v>
      </c>
      <c r="I29" s="11">
        <f t="shared" si="8"/>
        <v>1.69940999489459</v>
      </c>
      <c r="J29" s="11">
        <f t="shared" si="9"/>
        <v>0.84119974000649989</v>
      </c>
      <c r="K29" s="11">
        <f t="shared" si="10"/>
        <v>1</v>
      </c>
      <c r="L29" s="11">
        <f t="shared" si="11"/>
        <v>0.24218256401580115</v>
      </c>
      <c r="M29" s="11">
        <f t="shared" si="1"/>
        <v>2.888222596623331</v>
      </c>
      <c r="N29" s="11">
        <f t="shared" si="2"/>
        <v>0.83369657917179951</v>
      </c>
      <c r="O29" s="11">
        <f t="shared" si="3"/>
        <v>0.41684828958589976</v>
      </c>
    </row>
    <row r="30" spans="1:25" ht="16.5" thickTop="1" thickBot="1" x14ac:dyDescent="0.3">
      <c r="A30" s="10" t="s">
        <v>104</v>
      </c>
      <c r="B30" s="11">
        <f t="shared" si="4"/>
        <v>16049</v>
      </c>
      <c r="C30" s="11">
        <v>27014</v>
      </c>
      <c r="D30" s="11">
        <f t="shared" si="5"/>
        <v>10965</v>
      </c>
      <c r="E30" s="11">
        <v>0.59409999999999996</v>
      </c>
      <c r="F30" s="11">
        <f t="shared" si="6"/>
        <v>0.40590000000000004</v>
      </c>
      <c r="G30" s="11">
        <f t="shared" si="7"/>
        <v>1.463657090743274</v>
      </c>
      <c r="H30" s="11">
        <f t="shared" si="0"/>
        <v>0.68321831341525008</v>
      </c>
      <c r="I30" s="11">
        <f t="shared" si="8"/>
        <v>2.4636544196991652</v>
      </c>
      <c r="J30" s="11">
        <f t="shared" si="9"/>
        <v>0.27731905414667585</v>
      </c>
      <c r="K30" s="11">
        <f t="shared" si="10"/>
        <v>1</v>
      </c>
      <c r="L30" s="11">
        <f t="shared" si="11"/>
        <v>0.24114531122117394</v>
      </c>
      <c r="M30" s="11">
        <f t="shared" si="1"/>
        <v>6.0696062607696133</v>
      </c>
      <c r="N30" s="11">
        <f t="shared" si="2"/>
        <v>0.5092538838445998</v>
      </c>
      <c r="O30" s="11">
        <f t="shared" si="3"/>
        <v>0.2546269419222999</v>
      </c>
    </row>
    <row r="31" spans="1:25" ht="16.5" thickTop="1" thickBot="1" x14ac:dyDescent="0.3">
      <c r="A31" s="10" t="s">
        <v>105</v>
      </c>
      <c r="B31" s="11">
        <f t="shared" si="4"/>
        <v>14502</v>
      </c>
      <c r="C31" s="11">
        <v>18306</v>
      </c>
      <c r="D31" s="11">
        <f t="shared" si="5"/>
        <v>3804</v>
      </c>
      <c r="E31" s="11">
        <v>0.79220000000000002</v>
      </c>
      <c r="F31" s="11">
        <f t="shared" si="6"/>
        <v>0.20779999999999998</v>
      </c>
      <c r="G31" s="11">
        <f t="shared" si="7"/>
        <v>3.8123028391167191</v>
      </c>
      <c r="H31" s="11">
        <f t="shared" si="0"/>
        <v>0.26230749810653875</v>
      </c>
      <c r="I31" s="11">
        <f t="shared" si="8"/>
        <v>4.8122984588698801</v>
      </c>
      <c r="J31" s="11">
        <f t="shared" si="9"/>
        <v>5.4507736863880843E-2</v>
      </c>
      <c r="K31" s="11">
        <f t="shared" si="10"/>
        <v>1</v>
      </c>
      <c r="L31" s="11">
        <f t="shared" si="11"/>
        <v>0.16461958139574356</v>
      </c>
      <c r="M31" s="11">
        <f t="shared" si="1"/>
        <v>23.158258615370837</v>
      </c>
      <c r="N31" s="11">
        <f t="shared" si="2"/>
        <v>0.23189465983906365</v>
      </c>
      <c r="O31" s="11">
        <f t="shared" si="3"/>
        <v>0.11594732991953183</v>
      </c>
    </row>
    <row r="32" spans="1:25" ht="16.5" thickTop="1" thickBot="1" x14ac:dyDescent="0.3">
      <c r="A32" s="10" t="s">
        <v>106</v>
      </c>
      <c r="B32" s="11">
        <f t="shared" si="4"/>
        <v>12783</v>
      </c>
      <c r="C32" s="11">
        <v>18972</v>
      </c>
      <c r="D32" s="11">
        <f t="shared" si="5"/>
        <v>6189</v>
      </c>
      <c r="E32" s="11">
        <v>0.67379999999999995</v>
      </c>
      <c r="F32" s="11">
        <f t="shared" si="6"/>
        <v>0.32620000000000005</v>
      </c>
      <c r="G32" s="11">
        <f t="shared" si="7"/>
        <v>2.06543868153175</v>
      </c>
      <c r="H32" s="11">
        <f t="shared" si="0"/>
        <v>0.48411991688928474</v>
      </c>
      <c r="I32" s="11">
        <f t="shared" si="8"/>
        <v>3.0653586843748148</v>
      </c>
      <c r="J32" s="11">
        <f t="shared" si="9"/>
        <v>0.1579325510443558</v>
      </c>
      <c r="K32" s="11">
        <f t="shared" si="10"/>
        <v>1</v>
      </c>
      <c r="L32" s="11">
        <f t="shared" si="11"/>
        <v>0.21979967182237201</v>
      </c>
      <c r="M32" s="11">
        <f t="shared" si="1"/>
        <v>9.3969143102311126</v>
      </c>
      <c r="N32" s="11">
        <f t="shared" si="2"/>
        <v>0.38979688238072746</v>
      </c>
      <c r="O32" s="11">
        <f t="shared" si="3"/>
        <v>0.19489844119036373</v>
      </c>
    </row>
    <row r="33" spans="1:25" ht="15.75" thickTop="1" x14ac:dyDescent="0.25">
      <c r="E33" s="11">
        <v>0.5</v>
      </c>
      <c r="F33" s="11">
        <f t="shared" si="6"/>
        <v>0.5</v>
      </c>
      <c r="G33" s="11">
        <v>1</v>
      </c>
      <c r="H33" s="11">
        <v>1</v>
      </c>
      <c r="I33" s="11">
        <v>2</v>
      </c>
      <c r="J33" s="11">
        <v>0.5</v>
      </c>
      <c r="M33" s="11">
        <v>4</v>
      </c>
      <c r="N33" s="11">
        <v>0.65</v>
      </c>
    </row>
    <row r="34" spans="1:25" ht="15.75" thickBot="1" x14ac:dyDescent="0.3"/>
    <row r="35" spans="1:25" ht="16.5" thickTop="1" thickBot="1" x14ac:dyDescent="0.3">
      <c r="A35" s="8" t="s">
        <v>138</v>
      </c>
    </row>
    <row r="36" spans="1:25" ht="16.5" thickTop="1" thickBot="1" x14ac:dyDescent="0.3">
      <c r="A36" s="10" t="s">
        <v>6</v>
      </c>
      <c r="B36" s="11">
        <f t="shared" si="4"/>
        <v>27503</v>
      </c>
      <c r="C36" s="11">
        <v>36274</v>
      </c>
      <c r="D36" s="11">
        <f t="shared" si="5"/>
        <v>8771</v>
      </c>
      <c r="E36" s="11">
        <v>0.75819999999999999</v>
      </c>
      <c r="F36" s="11">
        <f t="shared" si="6"/>
        <v>0.24180000000000001</v>
      </c>
      <c r="G36" s="11">
        <f t="shared" si="7"/>
        <v>3.1356743814844372</v>
      </c>
      <c r="H36" s="11">
        <f t="shared" ref="H36:H67" si="13">F:F/E:E</f>
        <v>0.31891321551041946</v>
      </c>
      <c r="I36" s="11">
        <f t="shared" si="8"/>
        <v>4.1356823812772845</v>
      </c>
      <c r="J36" s="11">
        <f t="shared" si="9"/>
        <v>7.7112598625604489E-2</v>
      </c>
      <c r="K36" s="11">
        <f t="shared" si="10"/>
        <v>1</v>
      </c>
      <c r="L36" s="11">
        <f t="shared" si="11"/>
        <v>0.18333200263775642</v>
      </c>
      <c r="M36" s="11">
        <f t="shared" ref="M36:M67" si="14">(C36*C36)/(D36*D36)</f>
        <v>17.103802589666685</v>
      </c>
      <c r="N36" s="11">
        <f t="shared" ref="N36:N67" si="15">(2*D36)/(B36+C36)</f>
        <v>0.27505213478213147</v>
      </c>
      <c r="O36" s="11">
        <f t="shared" ref="O36:O67" si="16">D36/(B36+C36)</f>
        <v>0.13752606739106574</v>
      </c>
    </row>
    <row r="37" spans="1:25" ht="16.5" thickTop="1" thickBot="1" x14ac:dyDescent="0.3">
      <c r="A37" s="10" t="s">
        <v>7</v>
      </c>
      <c r="B37" s="11">
        <f t="shared" si="4"/>
        <v>11597</v>
      </c>
      <c r="C37" s="11">
        <v>18146</v>
      </c>
      <c r="D37" s="11">
        <f t="shared" si="5"/>
        <v>6549</v>
      </c>
      <c r="E37" s="11">
        <v>0.6391</v>
      </c>
      <c r="F37" s="11">
        <f t="shared" si="6"/>
        <v>0.3609</v>
      </c>
      <c r="G37" s="11">
        <f t="shared" si="7"/>
        <v>1.7708047030080929</v>
      </c>
      <c r="H37" s="11">
        <f t="shared" si="13"/>
        <v>0.5647003598810828</v>
      </c>
      <c r="I37" s="11">
        <f t="shared" si="8"/>
        <v>2.770778756075877</v>
      </c>
      <c r="J37" s="11">
        <f t="shared" si="9"/>
        <v>0.20380564801241699</v>
      </c>
      <c r="K37" s="11">
        <f t="shared" si="10"/>
        <v>1</v>
      </c>
      <c r="L37" s="11">
        <f t="shared" si="11"/>
        <v>0.23065285493277041</v>
      </c>
      <c r="M37" s="11">
        <f t="shared" si="14"/>
        <v>7.677358702211766</v>
      </c>
      <c r="N37" s="11">
        <f t="shared" si="15"/>
        <v>0.44037252462764348</v>
      </c>
      <c r="O37" s="11">
        <f t="shared" si="16"/>
        <v>0.22018626231382174</v>
      </c>
      <c r="S37" s="8" t="s">
        <v>376</v>
      </c>
      <c r="T37" s="8"/>
      <c r="U37" s="8"/>
      <c r="W37" s="8" t="s">
        <v>377</v>
      </c>
      <c r="X37" s="8"/>
      <c r="Y37" s="8"/>
    </row>
    <row r="38" spans="1:25" ht="16.5" thickTop="1" thickBot="1" x14ac:dyDescent="0.3">
      <c r="A38" s="10" t="s">
        <v>8</v>
      </c>
      <c r="B38" s="11">
        <f t="shared" si="4"/>
        <v>12611</v>
      </c>
      <c r="C38" s="11">
        <v>20004</v>
      </c>
      <c r="D38" s="11">
        <f t="shared" si="5"/>
        <v>7393</v>
      </c>
      <c r="E38" s="11">
        <v>0.63039999999999996</v>
      </c>
      <c r="F38" s="11">
        <f t="shared" si="6"/>
        <v>0.36960000000000004</v>
      </c>
      <c r="G38" s="11">
        <f t="shared" si="7"/>
        <v>1.7058027864195862</v>
      </c>
      <c r="H38" s="11">
        <f t="shared" si="13"/>
        <v>0.58629441624365497</v>
      </c>
      <c r="I38" s="11">
        <f t="shared" si="8"/>
        <v>2.7059054353102576</v>
      </c>
      <c r="J38" s="11">
        <f t="shared" si="9"/>
        <v>0.21667217508524306</v>
      </c>
      <c r="K38" s="11">
        <f t="shared" si="10"/>
        <v>1</v>
      </c>
      <c r="L38" s="11">
        <f t="shared" si="11"/>
        <v>0.2329896023394801</v>
      </c>
      <c r="M38" s="11">
        <f t="shared" si="14"/>
        <v>7.3213687189959966</v>
      </c>
      <c r="N38" s="11">
        <f t="shared" si="15"/>
        <v>0.45334968572742601</v>
      </c>
      <c r="O38" s="11">
        <f t="shared" si="16"/>
        <v>0.22667484286371301</v>
      </c>
    </row>
    <row r="39" spans="1:25" ht="16.5" thickTop="1" thickBot="1" x14ac:dyDescent="0.3">
      <c r="A39" s="10" t="s">
        <v>9</v>
      </c>
      <c r="B39" s="11">
        <f t="shared" si="4"/>
        <v>12191</v>
      </c>
      <c r="C39" s="11">
        <v>17699</v>
      </c>
      <c r="D39" s="11">
        <f t="shared" si="5"/>
        <v>5508</v>
      </c>
      <c r="E39" s="11">
        <v>0.68879999999999997</v>
      </c>
      <c r="F39" s="11">
        <f t="shared" si="6"/>
        <v>0.31120000000000003</v>
      </c>
      <c r="G39" s="11">
        <f t="shared" si="7"/>
        <v>2.2133260711692082</v>
      </c>
      <c r="H39" s="11">
        <f t="shared" si="13"/>
        <v>0.45180023228803723</v>
      </c>
      <c r="I39" s="11">
        <f t="shared" si="8"/>
        <v>3.2133073042526252</v>
      </c>
      <c r="J39" s="11">
        <f t="shared" si="9"/>
        <v>0.14060287097038801</v>
      </c>
      <c r="K39" s="11">
        <f t="shared" si="10"/>
        <v>1</v>
      </c>
      <c r="L39" s="11">
        <f t="shared" si="11"/>
        <v>0.21435607900297049</v>
      </c>
      <c r="M39" s="11">
        <f t="shared" si="14"/>
        <v>10.325464439655741</v>
      </c>
      <c r="N39" s="11">
        <f t="shared" si="15"/>
        <v>0.36855135496821678</v>
      </c>
      <c r="O39" s="11">
        <f t="shared" si="16"/>
        <v>0.18427567748410839</v>
      </c>
      <c r="T39" s="13">
        <v>0</v>
      </c>
      <c r="U39" s="13">
        <v>1</v>
      </c>
      <c r="X39" s="13">
        <v>0</v>
      </c>
      <c r="Y39" s="13">
        <v>1</v>
      </c>
    </row>
    <row r="40" spans="1:25" ht="16.5" thickTop="1" thickBot="1" x14ac:dyDescent="0.3">
      <c r="A40" s="10" t="s">
        <v>10</v>
      </c>
      <c r="B40" s="11">
        <f t="shared" si="4"/>
        <v>29660</v>
      </c>
      <c r="C40" s="11">
        <v>37322</v>
      </c>
      <c r="D40" s="11">
        <f t="shared" si="5"/>
        <v>7662</v>
      </c>
      <c r="E40" s="11">
        <v>0.79469999999999996</v>
      </c>
      <c r="F40" s="11">
        <f t="shared" si="6"/>
        <v>0.20530000000000004</v>
      </c>
      <c r="G40" s="11">
        <f t="shared" si="7"/>
        <v>3.8710519446619682</v>
      </c>
      <c r="H40" s="11">
        <f t="shared" si="13"/>
        <v>0.25833647917453134</v>
      </c>
      <c r="I40" s="11">
        <f t="shared" si="8"/>
        <v>4.8710858747476635</v>
      </c>
      <c r="J40" s="11">
        <f t="shared" si="9"/>
        <v>5.3034679703304125E-2</v>
      </c>
      <c r="K40" s="11">
        <f t="shared" si="10"/>
        <v>1</v>
      </c>
      <c r="L40" s="11">
        <f t="shared" si="11"/>
        <v>0.16314864728139819</v>
      </c>
      <c r="M40" s="11">
        <f t="shared" si="14"/>
        <v>23.727147047595142</v>
      </c>
      <c r="N40" s="11">
        <f t="shared" si="15"/>
        <v>0.22877788062464544</v>
      </c>
      <c r="O40" s="11">
        <f t="shared" si="16"/>
        <v>0.11438894031232272</v>
      </c>
      <c r="S40" s="13">
        <v>0</v>
      </c>
      <c r="T40" s="14">
        <f>COUNTIF(M2:M32,"&lt;"&amp;M33)</f>
        <v>21</v>
      </c>
      <c r="U40" s="14">
        <f>COUNTIF(M2:M32,"&gt;"&amp;M33)</f>
        <v>10</v>
      </c>
      <c r="W40" s="13">
        <v>0</v>
      </c>
      <c r="X40" s="14">
        <f>COUNTIF(N2:N32,"&gt;"&amp;N33)</f>
        <v>21</v>
      </c>
      <c r="Y40" s="14">
        <f>COUNTIF(N2:N32,"&lt;"&amp;N33)</f>
        <v>10</v>
      </c>
    </row>
    <row r="41" spans="1:25" ht="16.5" thickTop="1" thickBot="1" x14ac:dyDescent="0.3">
      <c r="A41" s="10" t="s">
        <v>11</v>
      </c>
      <c r="B41" s="11">
        <f t="shared" si="4"/>
        <v>10482</v>
      </c>
      <c r="C41" s="11">
        <v>29966</v>
      </c>
      <c r="D41" s="11">
        <f t="shared" si="5"/>
        <v>19484</v>
      </c>
      <c r="E41" s="11">
        <v>0.3498</v>
      </c>
      <c r="F41" s="11">
        <f t="shared" si="6"/>
        <v>0.6502</v>
      </c>
      <c r="G41" s="11">
        <f t="shared" si="7"/>
        <v>0.53797988092794091</v>
      </c>
      <c r="H41" s="11">
        <f t="shared" si="13"/>
        <v>1.8587764436821042</v>
      </c>
      <c r="I41" s="11">
        <f t="shared" si="8"/>
        <v>1.5379642107717006</v>
      </c>
      <c r="J41" s="11">
        <f t="shared" si="9"/>
        <v>1.20859538256058</v>
      </c>
      <c r="K41" s="11">
        <f t="shared" si="10"/>
        <v>1</v>
      </c>
      <c r="L41" s="11">
        <f t="shared" si="11"/>
        <v>0.22743888934990858</v>
      </c>
      <c r="M41" s="11">
        <f t="shared" si="14"/>
        <v>2.3653821141391234</v>
      </c>
      <c r="N41" s="11">
        <f t="shared" si="15"/>
        <v>0.96340981012658233</v>
      </c>
      <c r="O41" s="11">
        <f t="shared" si="16"/>
        <v>0.48170490506329117</v>
      </c>
      <c r="S41" s="13">
        <v>1</v>
      </c>
      <c r="T41" s="14">
        <f>COUNTIF(M36:M105,"&lt;"&amp;M33)</f>
        <v>7</v>
      </c>
      <c r="U41" s="14">
        <f>COUNTIF(M36:M105,"&gt;"&amp;M33)</f>
        <v>63</v>
      </c>
      <c r="W41" s="13">
        <v>1</v>
      </c>
      <c r="X41" s="14">
        <f>COUNTIF(N36:N105,"&gt;"&amp;N33)</f>
        <v>7</v>
      </c>
      <c r="Y41" s="14">
        <f>COUNTIF(N36:N105,"&lt;"&amp;N33)</f>
        <v>63</v>
      </c>
    </row>
    <row r="42" spans="1:25" ht="16.5" thickTop="1" thickBot="1" x14ac:dyDescent="0.3">
      <c r="A42" s="10" t="s">
        <v>15</v>
      </c>
      <c r="B42" s="11">
        <f t="shared" si="4"/>
        <v>17329</v>
      </c>
      <c r="C42" s="11">
        <v>21005</v>
      </c>
      <c r="D42" s="11">
        <f t="shared" si="5"/>
        <v>3676</v>
      </c>
      <c r="E42" s="11">
        <v>0.82499999999999996</v>
      </c>
      <c r="F42" s="11">
        <f t="shared" si="6"/>
        <v>0.17500000000000004</v>
      </c>
      <c r="G42" s="11">
        <f t="shared" si="7"/>
        <v>4.7140914036996735</v>
      </c>
      <c r="H42" s="11">
        <f t="shared" si="13"/>
        <v>0.21212121212121218</v>
      </c>
      <c r="I42" s="11">
        <f t="shared" si="8"/>
        <v>5.7140501863026349</v>
      </c>
      <c r="J42" s="11">
        <f t="shared" si="9"/>
        <v>3.7122742224017555E-2</v>
      </c>
      <c r="K42" s="11">
        <f t="shared" si="10"/>
        <v>1</v>
      </c>
      <c r="L42" s="11">
        <f t="shared" si="11"/>
        <v>0.14437886809122255</v>
      </c>
      <c r="M42" s="11">
        <f t="shared" si="14"/>
        <v>32.650840569834507</v>
      </c>
      <c r="N42" s="11">
        <f t="shared" si="15"/>
        <v>0.19178796890488861</v>
      </c>
      <c r="O42" s="11">
        <f t="shared" si="16"/>
        <v>9.5893984452444306E-2</v>
      </c>
    </row>
    <row r="43" spans="1:25" ht="16.5" thickTop="1" thickBot="1" x14ac:dyDescent="0.3">
      <c r="A43" s="10" t="s">
        <v>16</v>
      </c>
      <c r="B43" s="11">
        <f t="shared" si="4"/>
        <v>15182</v>
      </c>
      <c r="C43" s="11">
        <v>23633</v>
      </c>
      <c r="D43" s="11">
        <f t="shared" si="5"/>
        <v>8451</v>
      </c>
      <c r="E43" s="11">
        <v>0.64239999999999997</v>
      </c>
      <c r="F43" s="11">
        <f t="shared" si="6"/>
        <v>0.35760000000000003</v>
      </c>
      <c r="G43" s="11">
        <f t="shared" si="7"/>
        <v>1.7964737900840138</v>
      </c>
      <c r="H43" s="11">
        <f t="shared" si="13"/>
        <v>0.55666251556662527</v>
      </c>
      <c r="I43" s="11">
        <f t="shared" si="8"/>
        <v>2.7965034092216903</v>
      </c>
      <c r="J43" s="11">
        <f t="shared" si="9"/>
        <v>0.19905661968120145</v>
      </c>
      <c r="K43" s="11">
        <f t="shared" si="10"/>
        <v>1</v>
      </c>
      <c r="L43" s="11">
        <f t="shared" si="11"/>
        <v>0.22972030216163455</v>
      </c>
      <c r="M43" s="11">
        <f t="shared" si="14"/>
        <v>7.8202656586268482</v>
      </c>
      <c r="N43" s="11">
        <f t="shared" si="15"/>
        <v>0.43545021254669586</v>
      </c>
      <c r="O43" s="11">
        <f t="shared" si="16"/>
        <v>0.21772510627334793</v>
      </c>
    </row>
    <row r="44" spans="1:25" ht="16.5" thickTop="1" thickBot="1" x14ac:dyDescent="0.3">
      <c r="A44" s="10" t="s">
        <v>17</v>
      </c>
      <c r="B44" s="11">
        <f t="shared" si="4"/>
        <v>12763</v>
      </c>
      <c r="C44" s="11">
        <v>18777</v>
      </c>
      <c r="D44" s="11">
        <f t="shared" si="5"/>
        <v>6014</v>
      </c>
      <c r="E44" s="11">
        <v>0.67969999999999997</v>
      </c>
      <c r="F44" s="11">
        <f t="shared" si="6"/>
        <v>0.32030000000000003</v>
      </c>
      <c r="G44" s="11">
        <f t="shared" si="7"/>
        <v>2.1222148320585301</v>
      </c>
      <c r="H44" s="11">
        <f t="shared" si="13"/>
        <v>0.47123731057819634</v>
      </c>
      <c r="I44" s="11">
        <f t="shared" si="8"/>
        <v>3.1222816419869504</v>
      </c>
      <c r="J44" s="11">
        <f t="shared" si="9"/>
        <v>0.15092722714095433</v>
      </c>
      <c r="K44" s="11">
        <f t="shared" si="10"/>
        <v>1</v>
      </c>
      <c r="L44" s="11">
        <f t="shared" si="11"/>
        <v>0.21770268253490585</v>
      </c>
      <c r="M44" s="11">
        <f t="shared" si="14"/>
        <v>9.7482254575262761</v>
      </c>
      <c r="N44" s="11">
        <f t="shared" si="15"/>
        <v>0.38135700697526947</v>
      </c>
      <c r="O44" s="11">
        <f t="shared" si="16"/>
        <v>0.19067850348763474</v>
      </c>
    </row>
    <row r="45" spans="1:25" ht="16.5" thickTop="1" thickBot="1" x14ac:dyDescent="0.3">
      <c r="A45" s="10" t="s">
        <v>19</v>
      </c>
      <c r="B45" s="11">
        <f t="shared" si="4"/>
        <v>14982</v>
      </c>
      <c r="C45" s="11">
        <v>21069</v>
      </c>
      <c r="D45" s="11">
        <f t="shared" si="5"/>
        <v>6087</v>
      </c>
      <c r="E45" s="11">
        <v>0.71109999999999995</v>
      </c>
      <c r="F45" s="11">
        <f t="shared" si="6"/>
        <v>0.28890000000000005</v>
      </c>
      <c r="G45" s="11">
        <f t="shared" si="7"/>
        <v>2.4613109906357811</v>
      </c>
      <c r="H45" s="11">
        <f t="shared" si="13"/>
        <v>0.40627197299957823</v>
      </c>
      <c r="I45" s="11">
        <f t="shared" si="8"/>
        <v>3.4612726629669264</v>
      </c>
      <c r="J45" s="11">
        <f t="shared" si="9"/>
        <v>0.11737647176611937</v>
      </c>
      <c r="K45" s="11">
        <f t="shared" si="10"/>
        <v>1</v>
      </c>
      <c r="L45" s="11">
        <f t="shared" si="11"/>
        <v>0.20544011439478296</v>
      </c>
      <c r="M45" s="11">
        <f t="shared" si="14"/>
        <v>11.980673773896052</v>
      </c>
      <c r="N45" s="11">
        <f t="shared" si="15"/>
        <v>0.33768827494382958</v>
      </c>
      <c r="O45" s="11">
        <f t="shared" si="16"/>
        <v>0.16884413747191479</v>
      </c>
    </row>
    <row r="46" spans="1:25" ht="16.5" thickTop="1" thickBot="1" x14ac:dyDescent="0.3">
      <c r="A46" s="10" t="s">
        <v>20</v>
      </c>
      <c r="B46" s="11">
        <f t="shared" si="4"/>
        <v>13850</v>
      </c>
      <c r="C46" s="11">
        <v>19989</v>
      </c>
      <c r="D46" s="11">
        <f t="shared" si="5"/>
        <v>6139</v>
      </c>
      <c r="E46" s="11">
        <v>0.69289999999999996</v>
      </c>
      <c r="F46" s="11">
        <f t="shared" si="6"/>
        <v>0.30710000000000004</v>
      </c>
      <c r="G46" s="11">
        <f t="shared" si="7"/>
        <v>2.2560677634793942</v>
      </c>
      <c r="H46" s="11">
        <f t="shared" si="13"/>
        <v>0.44320969836917312</v>
      </c>
      <c r="I46" s="11">
        <f t="shared" si="8"/>
        <v>3.2559788764315116</v>
      </c>
      <c r="J46" s="11">
        <f t="shared" si="9"/>
        <v>0.13612179783393502</v>
      </c>
      <c r="K46" s="11">
        <f t="shared" si="10"/>
        <v>1</v>
      </c>
      <c r="L46" s="11">
        <f t="shared" si="11"/>
        <v>0.21279688720486697</v>
      </c>
      <c r="M46" s="11">
        <f t="shared" si="14"/>
        <v>10.601977280369702</v>
      </c>
      <c r="N46" s="11">
        <f t="shared" si="15"/>
        <v>0.36283578119920801</v>
      </c>
      <c r="O46" s="11">
        <f t="shared" si="16"/>
        <v>0.181417890599604</v>
      </c>
    </row>
    <row r="47" spans="1:25" ht="16.5" thickTop="1" thickBot="1" x14ac:dyDescent="0.3">
      <c r="A47" s="10" t="s">
        <v>21</v>
      </c>
      <c r="B47" s="11">
        <f t="shared" si="4"/>
        <v>11107</v>
      </c>
      <c r="C47" s="11">
        <v>19371</v>
      </c>
      <c r="D47" s="11">
        <f t="shared" si="5"/>
        <v>8264</v>
      </c>
      <c r="E47" s="11">
        <v>0.57340000000000002</v>
      </c>
      <c r="F47" s="11">
        <f t="shared" si="6"/>
        <v>0.42659999999999998</v>
      </c>
      <c r="G47" s="11">
        <f t="shared" si="7"/>
        <v>1.3440222652468539</v>
      </c>
      <c r="H47" s="11">
        <f t="shared" si="13"/>
        <v>0.74398325776072538</v>
      </c>
      <c r="I47" s="11">
        <f t="shared" si="8"/>
        <v>2.3439523286481578</v>
      </c>
      <c r="J47" s="11">
        <f t="shared" si="9"/>
        <v>0.31740545601872688</v>
      </c>
      <c r="K47" s="11">
        <f t="shared" si="10"/>
        <v>1</v>
      </c>
      <c r="L47" s="11">
        <f t="shared" si="11"/>
        <v>0.24461495116877771</v>
      </c>
      <c r="M47" s="11">
        <f t="shared" si="14"/>
        <v>5.4944403799729917</v>
      </c>
      <c r="N47" s="11">
        <f t="shared" si="15"/>
        <v>0.54229280136491897</v>
      </c>
      <c r="O47" s="11">
        <f t="shared" si="16"/>
        <v>0.27114640068245949</v>
      </c>
    </row>
    <row r="48" spans="1:25" ht="16.5" thickTop="1" thickBot="1" x14ac:dyDescent="0.3">
      <c r="A48" s="10" t="s">
        <v>24</v>
      </c>
      <c r="B48" s="11">
        <f t="shared" si="4"/>
        <v>27128</v>
      </c>
      <c r="C48" s="11">
        <v>33237</v>
      </c>
      <c r="D48" s="11">
        <f t="shared" si="5"/>
        <v>6109</v>
      </c>
      <c r="E48" s="11">
        <v>0.81620000000000004</v>
      </c>
      <c r="F48" s="11">
        <f t="shared" si="6"/>
        <v>0.18379999999999996</v>
      </c>
      <c r="G48" s="11">
        <f t="shared" si="7"/>
        <v>4.4406613193648719</v>
      </c>
      <c r="H48" s="11">
        <f t="shared" si="13"/>
        <v>0.22518990443518741</v>
      </c>
      <c r="I48" s="11">
        <f t="shared" si="8"/>
        <v>5.4406534175016805</v>
      </c>
      <c r="J48" s="11">
        <f t="shared" si="9"/>
        <v>4.1390231495134169E-2</v>
      </c>
      <c r="K48" s="11">
        <f t="shared" si="10"/>
        <v>1</v>
      </c>
      <c r="L48" s="11">
        <f t="shared" si="11"/>
        <v>0.15001830966192178</v>
      </c>
      <c r="M48" s="11">
        <f t="shared" si="14"/>
        <v>29.600795592033105</v>
      </c>
      <c r="N48" s="11">
        <f t="shared" si="15"/>
        <v>0.20240205417046303</v>
      </c>
      <c r="O48" s="11">
        <f t="shared" si="16"/>
        <v>0.10120102708523152</v>
      </c>
    </row>
    <row r="49" spans="1:15" ht="16.5" thickTop="1" thickBot="1" x14ac:dyDescent="0.3">
      <c r="A49" s="10" t="s">
        <v>25</v>
      </c>
      <c r="B49" s="11">
        <f t="shared" si="4"/>
        <v>14120</v>
      </c>
      <c r="C49" s="11">
        <v>22108</v>
      </c>
      <c r="D49" s="11">
        <f t="shared" si="5"/>
        <v>7988</v>
      </c>
      <c r="E49" s="11">
        <v>0.63870000000000005</v>
      </c>
      <c r="F49" s="11">
        <f t="shared" si="6"/>
        <v>0.36129999999999995</v>
      </c>
      <c r="G49" s="11">
        <f t="shared" si="7"/>
        <v>1.7676514772158238</v>
      </c>
      <c r="H49" s="11">
        <f t="shared" si="13"/>
        <v>0.5656802880851729</v>
      </c>
      <c r="I49" s="11">
        <f t="shared" si="8"/>
        <v>2.7675770740814527</v>
      </c>
      <c r="J49" s="11">
        <f t="shared" si="9"/>
        <v>0.20439549575070817</v>
      </c>
      <c r="K49" s="11">
        <f t="shared" si="10"/>
        <v>1</v>
      </c>
      <c r="L49" s="11">
        <f t="shared" si="11"/>
        <v>0.2307670727339502</v>
      </c>
      <c r="M49" s="11">
        <f t="shared" si="14"/>
        <v>7.6598946993349317</v>
      </c>
      <c r="N49" s="11">
        <f t="shared" si="15"/>
        <v>0.44098487357844762</v>
      </c>
      <c r="O49" s="11">
        <f t="shared" si="16"/>
        <v>0.22049243678922381</v>
      </c>
    </row>
    <row r="50" spans="1:15" ht="16.5" thickTop="1" thickBot="1" x14ac:dyDescent="0.3">
      <c r="A50" s="10" t="s">
        <v>26</v>
      </c>
      <c r="B50" s="11">
        <f t="shared" si="4"/>
        <v>19811</v>
      </c>
      <c r="C50" s="11">
        <v>27481</v>
      </c>
      <c r="D50" s="11">
        <f t="shared" si="5"/>
        <v>7670</v>
      </c>
      <c r="E50" s="11">
        <v>0.72089999999999999</v>
      </c>
      <c r="F50" s="11">
        <f t="shared" si="6"/>
        <v>0.27910000000000001</v>
      </c>
      <c r="G50" s="11">
        <f t="shared" si="7"/>
        <v>2.5829204693611474</v>
      </c>
      <c r="H50" s="11">
        <f t="shared" si="13"/>
        <v>0.3871549452073797</v>
      </c>
      <c r="I50" s="11">
        <f t="shared" si="8"/>
        <v>3.5829109021516818</v>
      </c>
      <c r="J50" s="11">
        <f t="shared" si="9"/>
        <v>0.10805597900156479</v>
      </c>
      <c r="K50" s="11">
        <f t="shared" si="10"/>
        <v>1</v>
      </c>
      <c r="L50" s="11">
        <f t="shared" si="11"/>
        <v>0.20120404044642368</v>
      </c>
      <c r="M50" s="11">
        <f t="shared" si="14"/>
        <v>12.837319089767105</v>
      </c>
      <c r="N50" s="11">
        <f t="shared" si="15"/>
        <v>0.32436775776029775</v>
      </c>
      <c r="O50" s="11">
        <f t="shared" si="16"/>
        <v>0.16218387888014887</v>
      </c>
    </row>
    <row r="51" spans="1:15" ht="16.5" thickTop="1" thickBot="1" x14ac:dyDescent="0.3">
      <c r="A51" s="10" t="s">
        <v>27</v>
      </c>
      <c r="B51" s="11">
        <f t="shared" si="4"/>
        <v>6899</v>
      </c>
      <c r="C51" s="11">
        <v>14000</v>
      </c>
      <c r="D51" s="11">
        <f t="shared" si="5"/>
        <v>7101</v>
      </c>
      <c r="E51" s="11">
        <v>0.49280000000000002</v>
      </c>
      <c r="F51" s="11">
        <f t="shared" si="6"/>
        <v>0.50719999999999998</v>
      </c>
      <c r="G51" s="11">
        <f t="shared" si="7"/>
        <v>0.97155330235178139</v>
      </c>
      <c r="H51" s="11">
        <f t="shared" si="13"/>
        <v>1.0292207792207793</v>
      </c>
      <c r="I51" s="11">
        <f t="shared" si="8"/>
        <v>1.9714961492528031</v>
      </c>
      <c r="J51" s="11">
        <f t="shared" si="9"/>
        <v>0.52205061603130887</v>
      </c>
      <c r="K51" s="11">
        <f t="shared" si="10"/>
        <v>1</v>
      </c>
      <c r="L51" s="11">
        <f t="shared" si="11"/>
        <v>0.24994795408163265</v>
      </c>
      <c r="M51" s="11">
        <f t="shared" si="14"/>
        <v>3.8870224240142148</v>
      </c>
      <c r="N51" s="11">
        <f t="shared" si="15"/>
        <v>0.67955404564811717</v>
      </c>
      <c r="O51" s="11">
        <f t="shared" si="16"/>
        <v>0.33977702282405858</v>
      </c>
    </row>
    <row r="52" spans="1:15" ht="16.5" thickTop="1" thickBot="1" x14ac:dyDescent="0.3">
      <c r="A52" s="10" t="s">
        <v>28</v>
      </c>
      <c r="B52" s="11">
        <f t="shared" si="4"/>
        <v>9088</v>
      </c>
      <c r="C52" s="11">
        <v>17612</v>
      </c>
      <c r="D52" s="11">
        <f t="shared" si="5"/>
        <v>8524</v>
      </c>
      <c r="E52" s="11">
        <v>0.51600000000000001</v>
      </c>
      <c r="F52" s="11">
        <f t="shared" si="6"/>
        <v>0.48399999999999999</v>
      </c>
      <c r="G52" s="11">
        <f t="shared" si="7"/>
        <v>1.0661661191928673</v>
      </c>
      <c r="H52" s="11">
        <f t="shared" si="13"/>
        <v>0.93798449612403101</v>
      </c>
      <c r="I52" s="11">
        <f t="shared" si="8"/>
        <v>2.0662134092885025</v>
      </c>
      <c r="J52" s="11">
        <f t="shared" si="9"/>
        <v>0.45396302816901402</v>
      </c>
      <c r="K52" s="11">
        <f t="shared" si="10"/>
        <v>1</v>
      </c>
      <c r="L52" s="11">
        <f t="shared" si="11"/>
        <v>0.24974362193637822</v>
      </c>
      <c r="M52" s="11">
        <f t="shared" si="14"/>
        <v>4.2690424321005134</v>
      </c>
      <c r="N52" s="11">
        <f t="shared" si="15"/>
        <v>0.63850187265917602</v>
      </c>
      <c r="O52" s="11">
        <f t="shared" si="16"/>
        <v>0.31925093632958801</v>
      </c>
    </row>
    <row r="53" spans="1:15" ht="16.5" thickTop="1" thickBot="1" x14ac:dyDescent="0.3">
      <c r="A53" s="10" t="s">
        <v>29</v>
      </c>
      <c r="B53" s="11">
        <f t="shared" si="4"/>
        <v>18970</v>
      </c>
      <c r="C53" s="11">
        <v>26953</v>
      </c>
      <c r="D53" s="11">
        <f t="shared" si="5"/>
        <v>7983</v>
      </c>
      <c r="E53" s="11">
        <v>0.70379999999999998</v>
      </c>
      <c r="F53" s="11">
        <f t="shared" si="6"/>
        <v>0.29620000000000002</v>
      </c>
      <c r="G53" s="11">
        <f t="shared" si="7"/>
        <v>2.3762996367280471</v>
      </c>
      <c r="H53" s="11">
        <f t="shared" si="13"/>
        <v>0.42085819835180455</v>
      </c>
      <c r="I53" s="11">
        <f t="shared" si="8"/>
        <v>3.3763848205854607</v>
      </c>
      <c r="J53" s="11">
        <f t="shared" si="9"/>
        <v>0.12464758039008962</v>
      </c>
      <c r="K53" s="11">
        <f t="shared" si="10"/>
        <v>1</v>
      </c>
      <c r="L53" s="11">
        <f t="shared" si="11"/>
        <v>0.20845832199835188</v>
      </c>
      <c r="M53" s="11">
        <f t="shared" si="14"/>
        <v>11.399399236969943</v>
      </c>
      <c r="N53" s="11">
        <f t="shared" si="15"/>
        <v>0.34766892406854955</v>
      </c>
      <c r="O53" s="11">
        <f t="shared" si="16"/>
        <v>0.17383446203427477</v>
      </c>
    </row>
    <row r="54" spans="1:15" ht="16.5" thickTop="1" thickBot="1" x14ac:dyDescent="0.3">
      <c r="A54" s="10" t="s">
        <v>30</v>
      </c>
      <c r="B54" s="11">
        <f t="shared" si="4"/>
        <v>13658</v>
      </c>
      <c r="C54" s="11">
        <v>18597</v>
      </c>
      <c r="D54" s="11">
        <f t="shared" si="5"/>
        <v>4939</v>
      </c>
      <c r="E54" s="11">
        <v>0.73440000000000005</v>
      </c>
      <c r="F54" s="11">
        <f t="shared" si="6"/>
        <v>0.26559999999999995</v>
      </c>
      <c r="G54" s="11">
        <f t="shared" si="7"/>
        <v>2.7653371127758657</v>
      </c>
      <c r="H54" s="11">
        <f t="shared" si="13"/>
        <v>0.36165577342047922</v>
      </c>
      <c r="I54" s="11">
        <f t="shared" si="8"/>
        <v>3.7654372450651765</v>
      </c>
      <c r="J54" s="11">
        <f t="shared" si="9"/>
        <v>9.6046156098989574E-2</v>
      </c>
      <c r="K54" s="11">
        <f t="shared" si="10"/>
        <v>1</v>
      </c>
      <c r="L54" s="11">
        <f t="shared" si="11"/>
        <v>0.19504748393970492</v>
      </c>
      <c r="M54" s="11">
        <f t="shared" si="14"/>
        <v>14.177763572847292</v>
      </c>
      <c r="N54" s="11">
        <f t="shared" si="15"/>
        <v>0.30624709347388002</v>
      </c>
      <c r="O54" s="11">
        <f t="shared" si="16"/>
        <v>0.15312354673694001</v>
      </c>
    </row>
    <row r="55" spans="1:15" ht="16.5" thickTop="1" thickBot="1" x14ac:dyDescent="0.3">
      <c r="A55" s="10" t="s">
        <v>31</v>
      </c>
      <c r="B55" s="11">
        <f t="shared" si="4"/>
        <v>17194</v>
      </c>
      <c r="C55" s="11">
        <v>17931</v>
      </c>
      <c r="D55" s="11">
        <f t="shared" si="5"/>
        <v>737</v>
      </c>
      <c r="E55" s="11">
        <v>0.95889999999999997</v>
      </c>
      <c r="F55" s="11">
        <f t="shared" si="6"/>
        <v>4.1100000000000025E-2</v>
      </c>
      <c r="G55" s="11">
        <f t="shared" si="7"/>
        <v>23.329715061058344</v>
      </c>
      <c r="H55" s="11">
        <f t="shared" si="13"/>
        <v>4.2861612264052586E-2</v>
      </c>
      <c r="I55" s="11">
        <f t="shared" si="8"/>
        <v>24.329664262236253</v>
      </c>
      <c r="J55" s="11">
        <f t="shared" si="9"/>
        <v>1.7617017564266616E-3</v>
      </c>
      <c r="K55" s="11">
        <f t="shared" si="10"/>
        <v>1</v>
      </c>
      <c r="L55" s="11">
        <f t="shared" si="11"/>
        <v>3.9412627541025258E-2</v>
      </c>
      <c r="M55" s="11">
        <f t="shared" si="14"/>
        <v>591.93503495228924</v>
      </c>
      <c r="N55" s="11">
        <f t="shared" si="15"/>
        <v>4.1964412811387901E-2</v>
      </c>
      <c r="O55" s="11">
        <f t="shared" si="16"/>
        <v>2.098220640569395E-2</v>
      </c>
    </row>
    <row r="56" spans="1:15" ht="16.5" thickTop="1" thickBot="1" x14ac:dyDescent="0.3">
      <c r="A56" s="10" t="s">
        <v>32</v>
      </c>
      <c r="B56" s="11">
        <f t="shared" si="4"/>
        <v>13657</v>
      </c>
      <c r="C56" s="11">
        <v>21602</v>
      </c>
      <c r="D56" s="11">
        <f t="shared" si="5"/>
        <v>7945</v>
      </c>
      <c r="E56" s="11">
        <v>0.63219999999999998</v>
      </c>
      <c r="F56" s="11">
        <f t="shared" si="6"/>
        <v>0.36780000000000002</v>
      </c>
      <c r="G56" s="11">
        <f t="shared" si="7"/>
        <v>1.7189427312775329</v>
      </c>
      <c r="H56" s="11">
        <f t="shared" si="13"/>
        <v>0.5817779183802595</v>
      </c>
      <c r="I56" s="11">
        <f t="shared" si="8"/>
        <v>2.7189856552950538</v>
      </c>
      <c r="J56" s="11">
        <f t="shared" si="9"/>
        <v>0.21396873398257307</v>
      </c>
      <c r="K56" s="11">
        <f t="shared" si="10"/>
        <v>1</v>
      </c>
      <c r="L56" s="11">
        <f t="shared" si="11"/>
        <v>0.23252052104102361</v>
      </c>
      <c r="M56" s="11">
        <f t="shared" si="14"/>
        <v>7.3926495759669315</v>
      </c>
      <c r="N56" s="11">
        <f t="shared" si="15"/>
        <v>0.45066507841969428</v>
      </c>
      <c r="O56" s="11">
        <f t="shared" si="16"/>
        <v>0.22533253920984714</v>
      </c>
    </row>
    <row r="57" spans="1:15" ht="16.5" thickTop="1" thickBot="1" x14ac:dyDescent="0.3">
      <c r="A57" s="10" t="s">
        <v>33</v>
      </c>
      <c r="B57" s="11">
        <f t="shared" si="4"/>
        <v>14779</v>
      </c>
      <c r="C57" s="11">
        <v>19092</v>
      </c>
      <c r="D57" s="11">
        <f t="shared" si="5"/>
        <v>4313</v>
      </c>
      <c r="E57" s="11">
        <v>0.77410000000000001</v>
      </c>
      <c r="F57" s="11">
        <f t="shared" si="6"/>
        <v>0.22589999999999999</v>
      </c>
      <c r="G57" s="11">
        <f t="shared" si="7"/>
        <v>3.4266172038024578</v>
      </c>
      <c r="H57" s="11">
        <f t="shared" si="13"/>
        <v>0.29182276191706497</v>
      </c>
      <c r="I57" s="11">
        <f t="shared" si="8"/>
        <v>4.4265821002486216</v>
      </c>
      <c r="J57" s="11">
        <f t="shared" si="9"/>
        <v>6.5925076121523776E-2</v>
      </c>
      <c r="K57" s="11">
        <f t="shared" si="10"/>
        <v>1</v>
      </c>
      <c r="L57" s="11">
        <f t="shared" si="11"/>
        <v>0.1748725551959221</v>
      </c>
      <c r="M57" s="11">
        <f t="shared" si="14"/>
        <v>19.594939868999891</v>
      </c>
      <c r="N57" s="11">
        <f t="shared" si="15"/>
        <v>0.25467213840748726</v>
      </c>
      <c r="O57" s="11">
        <f t="shared" si="16"/>
        <v>0.12733606920374363</v>
      </c>
    </row>
    <row r="58" spans="1:15" ht="16.5" thickTop="1" thickBot="1" x14ac:dyDescent="0.3">
      <c r="A58" s="10" t="s">
        <v>34</v>
      </c>
      <c r="B58" s="11">
        <f t="shared" si="4"/>
        <v>15414</v>
      </c>
      <c r="C58" s="11">
        <v>22479</v>
      </c>
      <c r="D58" s="11">
        <f t="shared" si="5"/>
        <v>7065</v>
      </c>
      <c r="E58" s="11">
        <v>0.68569999999999998</v>
      </c>
      <c r="F58" s="11">
        <f t="shared" si="6"/>
        <v>0.31430000000000002</v>
      </c>
      <c r="G58" s="11">
        <f t="shared" si="7"/>
        <v>2.1817409766454352</v>
      </c>
      <c r="H58" s="11">
        <f t="shared" si="13"/>
        <v>0.4583637159107482</v>
      </c>
      <c r="I58" s="11">
        <f t="shared" si="8"/>
        <v>3.1817718778553816</v>
      </c>
      <c r="J58" s="11">
        <f t="shared" si="9"/>
        <v>0.14405926430517713</v>
      </c>
      <c r="K58" s="11">
        <f t="shared" si="10"/>
        <v>1</v>
      </c>
      <c r="L58" s="11">
        <f t="shared" si="11"/>
        <v>0.21551303659918436</v>
      </c>
      <c r="M58" s="11">
        <f t="shared" si="14"/>
        <v>10.123475642464648</v>
      </c>
      <c r="N58" s="11">
        <f t="shared" si="15"/>
        <v>0.37289209088749903</v>
      </c>
      <c r="O58" s="11">
        <f t="shared" si="16"/>
        <v>0.18644604544374951</v>
      </c>
    </row>
    <row r="59" spans="1:15" ht="16.5" thickTop="1" thickBot="1" x14ac:dyDescent="0.3">
      <c r="A59" s="10" t="s">
        <v>35</v>
      </c>
      <c r="B59" s="11">
        <f t="shared" si="4"/>
        <v>16627</v>
      </c>
      <c r="C59" s="11">
        <v>25743</v>
      </c>
      <c r="D59" s="11">
        <f t="shared" si="5"/>
        <v>9116</v>
      </c>
      <c r="E59" s="11">
        <v>0.64590000000000003</v>
      </c>
      <c r="F59" s="11">
        <f t="shared" si="6"/>
        <v>0.35409999999999997</v>
      </c>
      <c r="G59" s="11">
        <f t="shared" si="7"/>
        <v>1.8239359368143924</v>
      </c>
      <c r="H59" s="11">
        <f t="shared" si="13"/>
        <v>0.54822727976466934</v>
      </c>
      <c r="I59" s="11">
        <f t="shared" si="8"/>
        <v>2.8238673739191706</v>
      </c>
      <c r="J59" s="11">
        <f t="shared" si="9"/>
        <v>0.1941405906056414</v>
      </c>
      <c r="K59" s="11">
        <f t="shared" si="10"/>
        <v>1</v>
      </c>
      <c r="L59" s="11">
        <f t="shared" si="11"/>
        <v>0.22871776574211256</v>
      </c>
      <c r="M59" s="11">
        <f t="shared" si="14"/>
        <v>7.9746141752317792</v>
      </c>
      <c r="N59" s="11">
        <f t="shared" si="15"/>
        <v>0.43030446070332784</v>
      </c>
      <c r="O59" s="11">
        <f t="shared" si="16"/>
        <v>0.21515223035166392</v>
      </c>
    </row>
    <row r="60" spans="1:15" ht="16.5" thickTop="1" thickBot="1" x14ac:dyDescent="0.3">
      <c r="A60" s="10" t="s">
        <v>36</v>
      </c>
      <c r="B60" s="11">
        <f t="shared" si="4"/>
        <v>11020</v>
      </c>
      <c r="C60" s="11">
        <v>21043</v>
      </c>
      <c r="D60" s="11">
        <f t="shared" si="5"/>
        <v>10023</v>
      </c>
      <c r="E60" s="11">
        <v>0.52370000000000005</v>
      </c>
      <c r="F60" s="11">
        <f t="shared" si="6"/>
        <v>0.47629999999999995</v>
      </c>
      <c r="G60" s="11">
        <f t="shared" si="7"/>
        <v>1.0994712162027338</v>
      </c>
      <c r="H60" s="11">
        <f t="shared" si="13"/>
        <v>0.90949016612564426</v>
      </c>
      <c r="I60" s="11">
        <f t="shared" si="8"/>
        <v>2.0994294752773222</v>
      </c>
      <c r="J60" s="11">
        <f t="shared" si="9"/>
        <v>0.43320824863883839</v>
      </c>
      <c r="K60" s="11">
        <f t="shared" si="10"/>
        <v>1</v>
      </c>
      <c r="L60" s="11">
        <f t="shared" si="11"/>
        <v>0.2494388034210297</v>
      </c>
      <c r="M60" s="11">
        <f t="shared" si="14"/>
        <v>4.4077793876637861</v>
      </c>
      <c r="N60" s="11">
        <f t="shared" si="15"/>
        <v>0.62520662445809816</v>
      </c>
      <c r="O60" s="11">
        <f t="shared" si="16"/>
        <v>0.31260331222904908</v>
      </c>
    </row>
    <row r="61" spans="1:15" ht="16.5" thickTop="1" thickBot="1" x14ac:dyDescent="0.3">
      <c r="A61" s="10" t="s">
        <v>37</v>
      </c>
      <c r="B61" s="11">
        <f t="shared" si="4"/>
        <v>23030</v>
      </c>
      <c r="C61" s="11">
        <v>33156</v>
      </c>
      <c r="D61" s="11">
        <f t="shared" si="5"/>
        <v>10126</v>
      </c>
      <c r="E61" s="11">
        <v>0.6946</v>
      </c>
      <c r="F61" s="11">
        <f t="shared" si="6"/>
        <v>0.3054</v>
      </c>
      <c r="G61" s="11">
        <f t="shared" si="7"/>
        <v>2.2743432747382974</v>
      </c>
      <c r="H61" s="11">
        <f t="shared" si="13"/>
        <v>0.43967751223725887</v>
      </c>
      <c r="I61" s="11">
        <f t="shared" si="8"/>
        <v>3.2743208677487727</v>
      </c>
      <c r="J61" s="11">
        <f t="shared" si="9"/>
        <v>0.13428052105948762</v>
      </c>
      <c r="K61" s="11">
        <f t="shared" si="10"/>
        <v>1</v>
      </c>
      <c r="L61" s="11">
        <f t="shared" si="11"/>
        <v>0.21213268995689716</v>
      </c>
      <c r="M61" s="11">
        <f t="shared" si="14"/>
        <v>10.721323880823917</v>
      </c>
      <c r="N61" s="11">
        <f t="shared" si="15"/>
        <v>0.36044566262058164</v>
      </c>
      <c r="O61" s="11">
        <f t="shared" si="16"/>
        <v>0.18022283131029082</v>
      </c>
    </row>
    <row r="62" spans="1:15" ht="16.5" thickTop="1" thickBot="1" x14ac:dyDescent="0.3">
      <c r="A62" s="10" t="s">
        <v>39</v>
      </c>
      <c r="B62" s="11">
        <f t="shared" si="4"/>
        <v>18143</v>
      </c>
      <c r="C62" s="11">
        <v>26978</v>
      </c>
      <c r="D62" s="11">
        <f t="shared" si="5"/>
        <v>8835</v>
      </c>
      <c r="E62" s="11">
        <v>0.67249999999999999</v>
      </c>
      <c r="F62" s="11">
        <f t="shared" si="6"/>
        <v>0.32750000000000001</v>
      </c>
      <c r="G62" s="11">
        <f t="shared" si="7"/>
        <v>2.0535370684776457</v>
      </c>
      <c r="H62" s="11">
        <f t="shared" si="13"/>
        <v>0.48698884758364314</v>
      </c>
      <c r="I62" s="11">
        <f t="shared" si="8"/>
        <v>3.0535867189258674</v>
      </c>
      <c r="J62" s="11">
        <f t="shared" si="9"/>
        <v>0.15948092928402138</v>
      </c>
      <c r="K62" s="11">
        <f t="shared" si="10"/>
        <v>1</v>
      </c>
      <c r="L62" s="11">
        <f t="shared" si="11"/>
        <v>0.22023997736208109</v>
      </c>
      <c r="M62" s="11">
        <f t="shared" si="14"/>
        <v>9.3240886285670541</v>
      </c>
      <c r="N62" s="11">
        <f t="shared" si="15"/>
        <v>0.39161366104474638</v>
      </c>
      <c r="O62" s="11">
        <f t="shared" si="16"/>
        <v>0.19580683052237319</v>
      </c>
    </row>
    <row r="63" spans="1:15" ht="16.5" thickTop="1" thickBot="1" x14ac:dyDescent="0.3">
      <c r="A63" s="10" t="s">
        <v>43</v>
      </c>
      <c r="B63" s="11">
        <f t="shared" si="4"/>
        <v>7458</v>
      </c>
      <c r="C63" s="11">
        <v>19301</v>
      </c>
      <c r="D63" s="11">
        <f t="shared" si="5"/>
        <v>11843</v>
      </c>
      <c r="E63" s="11">
        <v>0.38640000000000002</v>
      </c>
      <c r="F63" s="11">
        <f t="shared" si="6"/>
        <v>0.61359999999999992</v>
      </c>
      <c r="G63" s="11">
        <f t="shared" si="7"/>
        <v>0.6297390863801402</v>
      </c>
      <c r="H63" s="11">
        <f t="shared" si="13"/>
        <v>1.5879917184265007</v>
      </c>
      <c r="I63" s="11">
        <f t="shared" si="8"/>
        <v>1.6297595403212737</v>
      </c>
      <c r="J63" s="11">
        <f t="shared" si="9"/>
        <v>0.97437178868329288</v>
      </c>
      <c r="K63" s="11">
        <f t="shared" si="10"/>
        <v>1</v>
      </c>
      <c r="L63" s="11">
        <f t="shared" si="11"/>
        <v>0.23709614178053406</v>
      </c>
      <c r="M63" s="11">
        <f t="shared" si="14"/>
        <v>2.6560494896751741</v>
      </c>
      <c r="N63" s="11">
        <f t="shared" si="15"/>
        <v>0.88516013303935126</v>
      </c>
      <c r="O63" s="11">
        <f t="shared" si="16"/>
        <v>0.44258006651967563</v>
      </c>
    </row>
    <row r="64" spans="1:15" ht="16.5" thickTop="1" thickBot="1" x14ac:dyDescent="0.3">
      <c r="A64" s="10" t="s">
        <v>44</v>
      </c>
      <c r="B64" s="11">
        <f t="shared" si="4"/>
        <v>16651</v>
      </c>
      <c r="C64" s="11">
        <v>24701</v>
      </c>
      <c r="D64" s="11">
        <f t="shared" si="5"/>
        <v>8050</v>
      </c>
      <c r="E64" s="11">
        <v>0.67410000000000003</v>
      </c>
      <c r="F64" s="11">
        <f t="shared" si="6"/>
        <v>0.32589999999999997</v>
      </c>
      <c r="G64" s="11">
        <f t="shared" si="7"/>
        <v>2.068447204968944</v>
      </c>
      <c r="H64" s="11">
        <f t="shared" si="13"/>
        <v>0.48345942738466097</v>
      </c>
      <c r="I64" s="11">
        <f t="shared" si="8"/>
        <v>3.0684575062586319</v>
      </c>
      <c r="J64" s="11">
        <f t="shared" si="9"/>
        <v>0.15755780433607591</v>
      </c>
      <c r="K64" s="11">
        <f t="shared" si="10"/>
        <v>1</v>
      </c>
      <c r="L64" s="11">
        <f t="shared" si="11"/>
        <v>0.2196884019952024</v>
      </c>
      <c r="M64" s="11">
        <f t="shared" si="14"/>
        <v>9.415368249681725</v>
      </c>
      <c r="N64" s="11">
        <f t="shared" si="15"/>
        <v>0.38934029792996711</v>
      </c>
      <c r="O64" s="11">
        <f t="shared" si="16"/>
        <v>0.19467014896498355</v>
      </c>
    </row>
    <row r="65" spans="1:15" ht="16.5" thickTop="1" thickBot="1" x14ac:dyDescent="0.3">
      <c r="A65" s="10" t="s">
        <v>45</v>
      </c>
      <c r="B65" s="11">
        <f t="shared" si="4"/>
        <v>15847</v>
      </c>
      <c r="C65" s="11">
        <v>24403</v>
      </c>
      <c r="D65" s="11">
        <f t="shared" si="5"/>
        <v>8556</v>
      </c>
      <c r="E65" s="11">
        <v>0.64939999999999998</v>
      </c>
      <c r="F65" s="11">
        <f t="shared" si="6"/>
        <v>0.35060000000000002</v>
      </c>
      <c r="G65" s="11">
        <f t="shared" si="7"/>
        <v>1.8521505376344085</v>
      </c>
      <c r="H65" s="11">
        <f t="shared" si="13"/>
        <v>0.53988296889436405</v>
      </c>
      <c r="I65" s="11">
        <f t="shared" si="8"/>
        <v>2.8520950687317654</v>
      </c>
      <c r="J65" s="11">
        <f t="shared" si="9"/>
        <v>0.18929346879535561</v>
      </c>
      <c r="K65" s="11">
        <f t="shared" si="10"/>
        <v>1</v>
      </c>
      <c r="L65" s="11">
        <f t="shared" si="11"/>
        <v>0.22768341356339625</v>
      </c>
      <c r="M65" s="11">
        <f t="shared" si="14"/>
        <v>8.1347626893282463</v>
      </c>
      <c r="N65" s="11">
        <f t="shared" si="15"/>
        <v>0.42514285714285716</v>
      </c>
      <c r="O65" s="11">
        <f t="shared" si="16"/>
        <v>0.21257142857142858</v>
      </c>
    </row>
    <row r="66" spans="1:15" ht="16.5" thickTop="1" thickBot="1" x14ac:dyDescent="0.3">
      <c r="A66" s="10" t="s">
        <v>48</v>
      </c>
      <c r="B66" s="11">
        <f t="shared" si="4"/>
        <v>6369</v>
      </c>
      <c r="C66" s="11">
        <v>22161</v>
      </c>
      <c r="D66" s="11">
        <f t="shared" si="5"/>
        <v>15792</v>
      </c>
      <c r="E66" s="11">
        <v>0.28739999999999999</v>
      </c>
      <c r="F66" s="11">
        <f t="shared" si="6"/>
        <v>0.71260000000000001</v>
      </c>
      <c r="G66" s="11">
        <f t="shared" si="7"/>
        <v>0.40330547112462006</v>
      </c>
      <c r="H66" s="11">
        <f t="shared" si="13"/>
        <v>2.4794711203897011</v>
      </c>
      <c r="I66" s="11">
        <f t="shared" si="8"/>
        <v>1.403289739473278</v>
      </c>
      <c r="J66" s="11">
        <f t="shared" si="9"/>
        <v>1.7668989166274141</v>
      </c>
      <c r="K66" s="11">
        <f t="shared" si="10"/>
        <v>1</v>
      </c>
      <c r="L66" s="11">
        <f t="shared" si="11"/>
        <v>0.20479987004782987</v>
      </c>
      <c r="M66" s="11">
        <f t="shared" si="14"/>
        <v>1.9692662452882919</v>
      </c>
      <c r="N66" s="11">
        <f t="shared" si="15"/>
        <v>1.1070452155625656</v>
      </c>
      <c r="O66" s="11">
        <f t="shared" si="16"/>
        <v>0.55352260778128282</v>
      </c>
    </row>
    <row r="67" spans="1:15" ht="16.5" thickTop="1" thickBot="1" x14ac:dyDescent="0.3">
      <c r="A67" s="10" t="s">
        <v>49</v>
      </c>
      <c r="B67" s="11">
        <f t="shared" ref="B67:B105" si="17">ROUND(E:E*C:C,0)</f>
        <v>16019</v>
      </c>
      <c r="C67" s="11">
        <v>25092</v>
      </c>
      <c r="D67" s="11">
        <f t="shared" ref="D67:D105" si="18">C:C-B:B</f>
        <v>9073</v>
      </c>
      <c r="E67" s="11">
        <v>0.63839999999999997</v>
      </c>
      <c r="F67" s="11">
        <f t="shared" ref="F67:F105" si="19">1-E:E</f>
        <v>0.36160000000000003</v>
      </c>
      <c r="G67" s="11">
        <f t="shared" ref="G67:G105" si="20">B:B/D:D</f>
        <v>1.7655681692935081</v>
      </c>
      <c r="H67" s="11">
        <f t="shared" si="13"/>
        <v>0.56641604010025071</v>
      </c>
      <c r="I67" s="11">
        <f t="shared" ref="I67:I105" si="21">G:G/E:E</f>
        <v>2.7656143002717859</v>
      </c>
      <c r="J67" s="11">
        <f t="shared" ref="J67:J105" si="22">F:F/G:G</f>
        <v>0.20480659217179603</v>
      </c>
      <c r="K67" s="11">
        <f t="shared" ref="K67:K105" si="23">E:E+F:F</f>
        <v>1</v>
      </c>
      <c r="L67" s="11">
        <f t="shared" ref="L67:L72" si="24">(D67*B67)/(C67*C67)</f>
        <v>0.23084249229533865</v>
      </c>
      <c r="M67" s="11">
        <f t="shared" si="14"/>
        <v>7.6483672990094469</v>
      </c>
      <c r="N67" s="11">
        <f t="shared" si="15"/>
        <v>0.44139038213616794</v>
      </c>
      <c r="O67" s="11">
        <f t="shared" si="16"/>
        <v>0.22069519106808397</v>
      </c>
    </row>
    <row r="68" spans="1:15" ht="16.5" thickTop="1" thickBot="1" x14ac:dyDescent="0.3">
      <c r="A68" s="10" t="s">
        <v>50</v>
      </c>
      <c r="B68" s="11">
        <f t="shared" si="17"/>
        <v>6278</v>
      </c>
      <c r="C68" s="11">
        <v>19694</v>
      </c>
      <c r="D68" s="11">
        <f t="shared" si="18"/>
        <v>13416</v>
      </c>
      <c r="E68" s="11">
        <v>0.31879999999999997</v>
      </c>
      <c r="F68" s="11">
        <f t="shared" si="19"/>
        <v>0.68120000000000003</v>
      </c>
      <c r="G68" s="11">
        <f t="shared" si="20"/>
        <v>0.46794871794871795</v>
      </c>
      <c r="H68" s="11">
        <f t="shared" ref="H68:H99" si="25">F:F/E:E</f>
        <v>2.1367628607277291</v>
      </c>
      <c r="I68" s="11">
        <f t="shared" si="21"/>
        <v>1.4678441591866938</v>
      </c>
      <c r="J68" s="11">
        <f t="shared" si="22"/>
        <v>1.4557150684931508</v>
      </c>
      <c r="K68" s="11">
        <f t="shared" si="23"/>
        <v>1</v>
      </c>
      <c r="L68" s="11">
        <f t="shared" si="24"/>
        <v>0.21715833031406723</v>
      </c>
      <c r="M68" s="11">
        <f t="shared" ref="M68:M99" si="26">(C68*C68)/(D68*D68)</f>
        <v>2.1548734385272845</v>
      </c>
      <c r="N68" s="11">
        <f t="shared" ref="N68:N99" si="27">(2*D68)/(B68+C68)</f>
        <v>1.0331125827814569</v>
      </c>
      <c r="O68" s="11">
        <f t="shared" ref="O68:O99" si="28">D68/(B68+C68)</f>
        <v>0.51655629139072845</v>
      </c>
    </row>
    <row r="69" spans="1:15" ht="16.5" thickTop="1" thickBot="1" x14ac:dyDescent="0.3">
      <c r="A69" s="10" t="s">
        <v>53</v>
      </c>
      <c r="B69" s="11">
        <f t="shared" si="17"/>
        <v>19836</v>
      </c>
      <c r="C69" s="11">
        <v>30568</v>
      </c>
      <c r="D69" s="11">
        <f t="shared" si="18"/>
        <v>10732</v>
      </c>
      <c r="E69" s="11">
        <v>0.64890000000000003</v>
      </c>
      <c r="F69" s="11">
        <f t="shared" si="19"/>
        <v>0.35109999999999997</v>
      </c>
      <c r="G69" s="11">
        <f t="shared" si="20"/>
        <v>1.8483041371598956</v>
      </c>
      <c r="H69" s="11">
        <f t="shared" si="25"/>
        <v>0.54106950223455075</v>
      </c>
      <c r="I69" s="11">
        <f t="shared" si="21"/>
        <v>2.8483651366310609</v>
      </c>
      <c r="J69" s="11">
        <f t="shared" si="22"/>
        <v>0.18995791490219802</v>
      </c>
      <c r="K69" s="11">
        <f t="shared" si="23"/>
        <v>1</v>
      </c>
      <c r="L69" s="11">
        <f t="shared" si="24"/>
        <v>0.22782465131433535</v>
      </c>
      <c r="M69" s="11">
        <f t="shared" si="26"/>
        <v>8.1128364577621781</v>
      </c>
      <c r="N69" s="11">
        <f t="shared" si="27"/>
        <v>0.42583921910959449</v>
      </c>
      <c r="O69" s="11">
        <f t="shared" si="28"/>
        <v>0.21291960955479725</v>
      </c>
    </row>
    <row r="70" spans="1:15" ht="16.5" thickTop="1" thickBot="1" x14ac:dyDescent="0.3">
      <c r="A70" s="10" t="s">
        <v>54</v>
      </c>
      <c r="B70" s="11">
        <f t="shared" si="17"/>
        <v>16508</v>
      </c>
      <c r="C70" s="11">
        <v>25710</v>
      </c>
      <c r="D70" s="11">
        <f t="shared" si="18"/>
        <v>9202</v>
      </c>
      <c r="E70" s="11">
        <v>0.6421</v>
      </c>
      <c r="F70" s="11">
        <f t="shared" si="19"/>
        <v>0.3579</v>
      </c>
      <c r="G70" s="11">
        <f t="shared" si="20"/>
        <v>1.7939578352532057</v>
      </c>
      <c r="H70" s="11">
        <f t="shared" si="25"/>
        <v>0.55738981467061199</v>
      </c>
      <c r="I70" s="11">
        <f t="shared" si="21"/>
        <v>2.7938916605718824</v>
      </c>
      <c r="J70" s="11">
        <f t="shared" si="22"/>
        <v>0.19950301671916648</v>
      </c>
      <c r="K70" s="11">
        <f t="shared" si="23"/>
        <v>1</v>
      </c>
      <c r="L70" s="11">
        <f t="shared" si="24"/>
        <v>0.22981191190795941</v>
      </c>
      <c r="M70" s="11">
        <f t="shared" si="26"/>
        <v>7.8062003851727804</v>
      </c>
      <c r="N70" s="11">
        <f t="shared" si="27"/>
        <v>0.43592780330664643</v>
      </c>
      <c r="O70" s="11">
        <f t="shared" si="28"/>
        <v>0.21796390165332322</v>
      </c>
    </row>
    <row r="71" spans="1:15" ht="16.5" thickTop="1" thickBot="1" x14ac:dyDescent="0.3">
      <c r="A71" s="10" t="s">
        <v>55</v>
      </c>
      <c r="B71" s="11">
        <f t="shared" si="17"/>
        <v>12222</v>
      </c>
      <c r="C71" s="11">
        <v>19332</v>
      </c>
      <c r="D71" s="11">
        <f t="shared" si="18"/>
        <v>7110</v>
      </c>
      <c r="E71" s="11">
        <v>0.63219999999999998</v>
      </c>
      <c r="F71" s="11">
        <f t="shared" si="19"/>
        <v>0.36780000000000002</v>
      </c>
      <c r="G71" s="11">
        <f t="shared" si="20"/>
        <v>1.718987341772152</v>
      </c>
      <c r="H71" s="11">
        <f t="shared" si="25"/>
        <v>0.5817779183802595</v>
      </c>
      <c r="I71" s="11">
        <f t="shared" si="21"/>
        <v>2.71905621919037</v>
      </c>
      <c r="J71" s="11">
        <f t="shared" si="22"/>
        <v>0.21396318114874815</v>
      </c>
      <c r="K71" s="11">
        <f t="shared" si="23"/>
        <v>1</v>
      </c>
      <c r="L71" s="11">
        <f t="shared" si="24"/>
        <v>0.23251892540460312</v>
      </c>
      <c r="M71" s="11">
        <f t="shared" si="26"/>
        <v>7.3928921647171926</v>
      </c>
      <c r="N71" s="11">
        <f t="shared" si="27"/>
        <v>0.45065601825442098</v>
      </c>
      <c r="O71" s="11">
        <f t="shared" si="28"/>
        <v>0.22532800912721049</v>
      </c>
    </row>
    <row r="72" spans="1:15" ht="16.5" thickTop="1" thickBot="1" x14ac:dyDescent="0.3">
      <c r="A72" s="10" t="s">
        <v>56</v>
      </c>
      <c r="B72" s="11">
        <f t="shared" si="17"/>
        <v>14618</v>
      </c>
      <c r="C72" s="11">
        <v>25942</v>
      </c>
      <c r="D72" s="11">
        <f t="shared" si="18"/>
        <v>11324</v>
      </c>
      <c r="E72" s="11">
        <v>0.5635</v>
      </c>
      <c r="F72" s="11">
        <f t="shared" si="19"/>
        <v>0.4365</v>
      </c>
      <c r="G72" s="11">
        <f t="shared" si="20"/>
        <v>1.2908866125044154</v>
      </c>
      <c r="H72" s="11">
        <f t="shared" si="25"/>
        <v>0.77462289263531503</v>
      </c>
      <c r="I72" s="11">
        <f t="shared" si="21"/>
        <v>2.2908369343467885</v>
      </c>
      <c r="J72" s="11">
        <f t="shared" si="22"/>
        <v>0.33813969079217404</v>
      </c>
      <c r="K72" s="11">
        <f t="shared" si="23"/>
        <v>1</v>
      </c>
      <c r="L72" s="11">
        <f t="shared" si="24"/>
        <v>0.24596930173565637</v>
      </c>
      <c r="M72" s="11">
        <f t="shared" si="26"/>
        <v>5.2481614713519553</v>
      </c>
      <c r="N72" s="11">
        <f t="shared" si="27"/>
        <v>0.55838264299802765</v>
      </c>
      <c r="O72" s="11">
        <f t="shared" si="28"/>
        <v>0.27919132149901382</v>
      </c>
    </row>
    <row r="73" spans="1:15" ht="16.5" thickTop="1" thickBot="1" x14ac:dyDescent="0.3">
      <c r="A73" s="10" t="s">
        <v>57</v>
      </c>
      <c r="B73" s="11">
        <f t="shared" si="17"/>
        <v>26234</v>
      </c>
      <c r="C73" s="11">
        <v>34988</v>
      </c>
      <c r="D73" s="11">
        <f t="shared" si="18"/>
        <v>8754</v>
      </c>
      <c r="E73" s="11">
        <v>0.74980000000000002</v>
      </c>
      <c r="F73" s="11">
        <f t="shared" si="19"/>
        <v>0.25019999999999998</v>
      </c>
      <c r="G73" s="11">
        <f t="shared" si="20"/>
        <v>2.9968014621887136</v>
      </c>
      <c r="H73" s="11">
        <f t="shared" si="25"/>
        <v>0.33368898372899436</v>
      </c>
      <c r="I73" s="11">
        <f t="shared" si="21"/>
        <v>3.9968010965440297</v>
      </c>
      <c r="J73" s="11">
        <f t="shared" si="22"/>
        <v>8.34890142563086E-2</v>
      </c>
      <c r="K73" s="11">
        <f t="shared" si="23"/>
        <v>1</v>
      </c>
      <c r="L73" s="11">
        <f>(D73*B73)/(C73*C73)</f>
        <v>0.18759999427003074</v>
      </c>
      <c r="M73" s="11">
        <f t="shared" si="26"/>
        <v>15.97442192815384</v>
      </c>
      <c r="N73" s="11">
        <f t="shared" si="27"/>
        <v>0.2859756296756068</v>
      </c>
      <c r="O73" s="11">
        <f t="shared" si="28"/>
        <v>0.1429878148378034</v>
      </c>
    </row>
    <row r="74" spans="1:15" ht="16.5" thickTop="1" thickBot="1" x14ac:dyDescent="0.3">
      <c r="A74" s="10" t="s">
        <v>58</v>
      </c>
      <c r="B74" s="11">
        <f t="shared" si="17"/>
        <v>24855</v>
      </c>
      <c r="C74" s="11">
        <v>26397</v>
      </c>
      <c r="D74" s="11">
        <f t="shared" si="18"/>
        <v>1542</v>
      </c>
      <c r="E74" s="11">
        <v>0.94159999999999999</v>
      </c>
      <c r="F74" s="11">
        <f t="shared" si="19"/>
        <v>5.8400000000000007E-2</v>
      </c>
      <c r="G74" s="11">
        <f t="shared" si="20"/>
        <v>16.118677042801558</v>
      </c>
      <c r="H74" s="11">
        <f t="shared" si="25"/>
        <v>6.2022090059473248E-2</v>
      </c>
      <c r="I74" s="11">
        <f t="shared" si="21"/>
        <v>17.11839108198976</v>
      </c>
      <c r="J74" s="11">
        <f t="shared" si="22"/>
        <v>3.6231261315630659E-3</v>
      </c>
      <c r="K74" s="11">
        <f t="shared" si="23"/>
        <v>1</v>
      </c>
      <c r="L74" s="11">
        <f t="shared" ref="L74:L105" si="29">(D74*B74)/(C74*C74)</f>
        <v>5.5003331658495067E-2</v>
      </c>
      <c r="M74" s="11">
        <f t="shared" si="26"/>
        <v>293.04910369574105</v>
      </c>
      <c r="N74" s="11">
        <f t="shared" si="27"/>
        <v>6.0173261531257315E-2</v>
      </c>
      <c r="O74" s="11">
        <f t="shared" si="28"/>
        <v>3.0086630765628657E-2</v>
      </c>
    </row>
    <row r="75" spans="1:15" ht="16.5" thickTop="1" thickBot="1" x14ac:dyDescent="0.3">
      <c r="A75" s="10" t="s">
        <v>59</v>
      </c>
      <c r="B75" s="11">
        <f t="shared" si="17"/>
        <v>12733</v>
      </c>
      <c r="C75" s="11">
        <v>18897</v>
      </c>
      <c r="D75" s="11">
        <f t="shared" si="18"/>
        <v>6164</v>
      </c>
      <c r="E75" s="11">
        <v>0.67379999999999995</v>
      </c>
      <c r="F75" s="11">
        <f t="shared" si="19"/>
        <v>0.32620000000000005</v>
      </c>
      <c r="G75" s="11">
        <f t="shared" si="20"/>
        <v>2.0657040882543805</v>
      </c>
      <c r="H75" s="11">
        <f t="shared" si="25"/>
        <v>0.48411991688928474</v>
      </c>
      <c r="I75" s="11">
        <f t="shared" si="21"/>
        <v>3.0657525797779468</v>
      </c>
      <c r="J75" s="11">
        <f t="shared" si="22"/>
        <v>0.15791225948323256</v>
      </c>
      <c r="K75" s="11">
        <f t="shared" si="23"/>
        <v>1</v>
      </c>
      <c r="L75" s="11">
        <f t="shared" si="29"/>
        <v>0.21978985524334677</v>
      </c>
      <c r="M75" s="11">
        <f t="shared" si="26"/>
        <v>9.3985415567396213</v>
      </c>
      <c r="N75" s="11">
        <f t="shared" si="27"/>
        <v>0.389756560227632</v>
      </c>
      <c r="O75" s="11">
        <f t="shared" si="28"/>
        <v>0.194878280113816</v>
      </c>
    </row>
    <row r="76" spans="1:15" ht="16.5" thickTop="1" thickBot="1" x14ac:dyDescent="0.3">
      <c r="A76" s="10" t="s">
        <v>60</v>
      </c>
      <c r="B76" s="11">
        <f t="shared" si="17"/>
        <v>11739</v>
      </c>
      <c r="C76" s="11">
        <v>15011</v>
      </c>
      <c r="D76" s="11">
        <f t="shared" si="18"/>
        <v>3272</v>
      </c>
      <c r="E76" s="11">
        <v>0.78200000000000003</v>
      </c>
      <c r="F76" s="11">
        <f t="shared" si="19"/>
        <v>0.21799999999999997</v>
      </c>
      <c r="G76" s="11">
        <f t="shared" si="20"/>
        <v>3.5877139364303177</v>
      </c>
      <c r="H76" s="11">
        <f t="shared" si="25"/>
        <v>0.27877237851662401</v>
      </c>
      <c r="I76" s="11">
        <f t="shared" si="21"/>
        <v>4.5878694839262373</v>
      </c>
      <c r="J76" s="11">
        <f t="shared" si="22"/>
        <v>6.0762926995485134E-2</v>
      </c>
      <c r="K76" s="11">
        <f t="shared" si="23"/>
        <v>1</v>
      </c>
      <c r="L76" s="11">
        <f t="shared" si="29"/>
        <v>0.17046104546315846</v>
      </c>
      <c r="M76" s="11">
        <f t="shared" si="26"/>
        <v>21.047119162516964</v>
      </c>
      <c r="N76" s="11">
        <f t="shared" si="27"/>
        <v>0.2446355140186916</v>
      </c>
      <c r="O76" s="11">
        <f t="shared" si="28"/>
        <v>0.1223177570093458</v>
      </c>
    </row>
    <row r="77" spans="1:15" ht="16.5" thickTop="1" thickBot="1" x14ac:dyDescent="0.3">
      <c r="A77" s="10" t="s">
        <v>61</v>
      </c>
      <c r="B77" s="11">
        <f t="shared" si="17"/>
        <v>11828</v>
      </c>
      <c r="C77" s="11">
        <v>28351</v>
      </c>
      <c r="D77" s="11">
        <f t="shared" si="18"/>
        <v>16523</v>
      </c>
      <c r="E77" s="11">
        <v>0.41720000000000002</v>
      </c>
      <c r="F77" s="11">
        <f t="shared" si="19"/>
        <v>0.58279999999999998</v>
      </c>
      <c r="G77" s="11">
        <f t="shared" si="20"/>
        <v>0.71585063245173397</v>
      </c>
      <c r="H77" s="11">
        <f t="shared" si="25"/>
        <v>1.3969319271332694</v>
      </c>
      <c r="I77" s="11">
        <f t="shared" si="21"/>
        <v>1.7158452359821044</v>
      </c>
      <c r="J77" s="11">
        <f t="shared" si="22"/>
        <v>0.8141363205951978</v>
      </c>
      <c r="K77" s="11">
        <f t="shared" si="23"/>
        <v>1</v>
      </c>
      <c r="L77" s="11">
        <f t="shared" si="29"/>
        <v>0.24314394271070469</v>
      </c>
      <c r="M77" s="11">
        <f t="shared" si="26"/>
        <v>2.9441433928850156</v>
      </c>
      <c r="N77" s="11">
        <f t="shared" si="27"/>
        <v>0.82246944921476395</v>
      </c>
      <c r="O77" s="11">
        <f t="shared" si="28"/>
        <v>0.41123472460738197</v>
      </c>
    </row>
    <row r="78" spans="1:15" ht="16.5" thickTop="1" thickBot="1" x14ac:dyDescent="0.3">
      <c r="A78" s="10" t="s">
        <v>63</v>
      </c>
      <c r="B78" s="11">
        <f t="shared" si="17"/>
        <v>19002</v>
      </c>
      <c r="C78" s="11">
        <v>24966</v>
      </c>
      <c r="D78" s="11">
        <f t="shared" si="18"/>
        <v>5964</v>
      </c>
      <c r="E78" s="11">
        <v>0.7611</v>
      </c>
      <c r="F78" s="11">
        <f t="shared" si="19"/>
        <v>0.2389</v>
      </c>
      <c r="G78" s="11">
        <f t="shared" si="20"/>
        <v>3.1861167002012074</v>
      </c>
      <c r="H78" s="11">
        <f t="shared" si="25"/>
        <v>0.31388779398239391</v>
      </c>
      <c r="I78" s="11">
        <f t="shared" si="21"/>
        <v>4.1861998425978291</v>
      </c>
      <c r="J78" s="11">
        <f t="shared" si="22"/>
        <v>7.498155983580676E-2</v>
      </c>
      <c r="K78" s="11">
        <f t="shared" si="23"/>
        <v>1</v>
      </c>
      <c r="L78" s="11">
        <f t="shared" si="29"/>
        <v>0.18181889590463074</v>
      </c>
      <c r="M78" s="11">
        <f t="shared" si="26"/>
        <v>17.523573027703446</v>
      </c>
      <c r="N78" s="11">
        <f t="shared" si="27"/>
        <v>0.27128820960698691</v>
      </c>
      <c r="O78" s="11">
        <f t="shared" si="28"/>
        <v>0.13564410480349345</v>
      </c>
    </row>
    <row r="79" spans="1:15" ht="16.5" thickTop="1" thickBot="1" x14ac:dyDescent="0.3">
      <c r="A79" s="10" t="s">
        <v>64</v>
      </c>
      <c r="B79" s="11">
        <f t="shared" si="17"/>
        <v>15668</v>
      </c>
      <c r="C79" s="11">
        <v>22291</v>
      </c>
      <c r="D79" s="11">
        <f t="shared" si="18"/>
        <v>6623</v>
      </c>
      <c r="E79" s="11">
        <v>0.70289999999999997</v>
      </c>
      <c r="F79" s="11">
        <f t="shared" si="19"/>
        <v>0.29710000000000003</v>
      </c>
      <c r="G79" s="11">
        <f t="shared" si="20"/>
        <v>2.3656953042427902</v>
      </c>
      <c r="H79" s="11">
        <f t="shared" si="25"/>
        <v>0.42267747901550723</v>
      </c>
      <c r="I79" s="11">
        <f t="shared" si="21"/>
        <v>3.3656214315589561</v>
      </c>
      <c r="J79" s="11">
        <f t="shared" si="22"/>
        <v>0.12558675644625991</v>
      </c>
      <c r="K79" s="11">
        <f t="shared" si="23"/>
        <v>1</v>
      </c>
      <c r="L79" s="11">
        <f t="shared" si="29"/>
        <v>0.20883785034338506</v>
      </c>
      <c r="M79" s="11">
        <f t="shared" si="26"/>
        <v>11.327904881001968</v>
      </c>
      <c r="N79" s="11">
        <f t="shared" si="27"/>
        <v>0.34895545193498251</v>
      </c>
      <c r="O79" s="11">
        <f t="shared" si="28"/>
        <v>0.17447772596749125</v>
      </c>
    </row>
    <row r="80" spans="1:15" ht="16.5" thickTop="1" thickBot="1" x14ac:dyDescent="0.3">
      <c r="A80" s="10" t="s">
        <v>65</v>
      </c>
      <c r="B80" s="11">
        <f t="shared" si="17"/>
        <v>24999</v>
      </c>
      <c r="C80" s="11">
        <v>25677</v>
      </c>
      <c r="D80" s="11">
        <f t="shared" si="18"/>
        <v>678</v>
      </c>
      <c r="E80" s="11">
        <v>0.97360000000000002</v>
      </c>
      <c r="F80" s="11">
        <f t="shared" si="19"/>
        <v>2.6399999999999979E-2</v>
      </c>
      <c r="G80" s="11">
        <f t="shared" si="20"/>
        <v>36.871681415929203</v>
      </c>
      <c r="H80" s="11">
        <f t="shared" si="25"/>
        <v>2.7115858668857826E-2</v>
      </c>
      <c r="I80" s="11">
        <f t="shared" si="21"/>
        <v>37.871488718086688</v>
      </c>
      <c r="J80" s="11">
        <f t="shared" si="22"/>
        <v>7.159966398655941E-4</v>
      </c>
      <c r="K80" s="11">
        <f t="shared" si="23"/>
        <v>1</v>
      </c>
      <c r="L80" s="11">
        <f t="shared" si="29"/>
        <v>2.5707732261941438E-2</v>
      </c>
      <c r="M80" s="11">
        <f t="shared" si="26"/>
        <v>1434.2642532696375</v>
      </c>
      <c r="N80" s="11">
        <f t="shared" si="27"/>
        <v>2.6758228747336018E-2</v>
      </c>
      <c r="O80" s="11">
        <f t="shared" si="28"/>
        <v>1.3379114373668009E-2</v>
      </c>
    </row>
    <row r="81" spans="1:15" ht="16.5" thickTop="1" thickBot="1" x14ac:dyDescent="0.3">
      <c r="A81" s="10" t="s">
        <v>66</v>
      </c>
      <c r="B81" s="11">
        <f t="shared" si="17"/>
        <v>15505</v>
      </c>
      <c r="C81" s="11">
        <v>21330</v>
      </c>
      <c r="D81" s="11">
        <f t="shared" si="18"/>
        <v>5825</v>
      </c>
      <c r="E81" s="11">
        <v>0.72689999999999999</v>
      </c>
      <c r="F81" s="11">
        <f t="shared" si="19"/>
        <v>0.27310000000000001</v>
      </c>
      <c r="G81" s="11">
        <f t="shared" si="20"/>
        <v>2.6618025751072962</v>
      </c>
      <c r="H81" s="11">
        <f t="shared" si="25"/>
        <v>0.37570504883752925</v>
      </c>
      <c r="I81" s="11">
        <f t="shared" si="21"/>
        <v>3.6618552415838441</v>
      </c>
      <c r="J81" s="11">
        <f t="shared" si="22"/>
        <v>0.10259964527571751</v>
      </c>
      <c r="K81" s="11">
        <f t="shared" si="23"/>
        <v>1</v>
      </c>
      <c r="L81" s="11">
        <f t="shared" si="29"/>
        <v>0.1985116455212653</v>
      </c>
      <c r="M81" s="11">
        <f t="shared" si="26"/>
        <v>13.408798099062425</v>
      </c>
      <c r="N81" s="11">
        <f t="shared" si="27"/>
        <v>0.31627528166146329</v>
      </c>
      <c r="O81" s="11">
        <f t="shared" si="28"/>
        <v>0.15813764083073165</v>
      </c>
    </row>
    <row r="82" spans="1:15" ht="16.5" thickTop="1" thickBot="1" x14ac:dyDescent="0.3">
      <c r="A82" s="10" t="s">
        <v>67</v>
      </c>
      <c r="B82" s="11">
        <f t="shared" si="17"/>
        <v>18071</v>
      </c>
      <c r="C82" s="11">
        <v>28214</v>
      </c>
      <c r="D82" s="11">
        <f t="shared" si="18"/>
        <v>10143</v>
      </c>
      <c r="E82" s="11">
        <v>0.64049999999999996</v>
      </c>
      <c r="F82" s="11">
        <f t="shared" si="19"/>
        <v>0.35950000000000004</v>
      </c>
      <c r="G82" s="11">
        <f t="shared" si="20"/>
        <v>1.7816227940451543</v>
      </c>
      <c r="H82" s="11">
        <f t="shared" si="25"/>
        <v>0.56128024980484004</v>
      </c>
      <c r="I82" s="11">
        <f t="shared" si="21"/>
        <v>2.7816124809448155</v>
      </c>
      <c r="J82" s="11">
        <f t="shared" si="22"/>
        <v>0.2017823308062642</v>
      </c>
      <c r="K82" s="11">
        <f t="shared" si="23"/>
        <v>1</v>
      </c>
      <c r="L82" s="11">
        <f t="shared" si="29"/>
        <v>0.2302604172871941</v>
      </c>
      <c r="M82" s="11">
        <f t="shared" si="26"/>
        <v>7.7374253683515706</v>
      </c>
      <c r="N82" s="11">
        <f t="shared" si="27"/>
        <v>0.43828454142810847</v>
      </c>
      <c r="O82" s="11">
        <f t="shared" si="28"/>
        <v>0.21914227071405423</v>
      </c>
    </row>
    <row r="83" spans="1:15" ht="16.5" thickTop="1" thickBot="1" x14ac:dyDescent="0.3">
      <c r="A83" s="10" t="s">
        <v>68</v>
      </c>
      <c r="B83" s="11">
        <f t="shared" si="17"/>
        <v>35131</v>
      </c>
      <c r="C83" s="11">
        <v>36504</v>
      </c>
      <c r="D83" s="11">
        <f t="shared" si="18"/>
        <v>1373</v>
      </c>
      <c r="E83" s="11">
        <v>0.96240000000000003</v>
      </c>
      <c r="F83" s="11">
        <f t="shared" si="19"/>
        <v>3.7599999999999967E-2</v>
      </c>
      <c r="G83" s="11">
        <f t="shared" si="20"/>
        <v>25.587035688273854</v>
      </c>
      <c r="H83" s="11">
        <f t="shared" si="25"/>
        <v>3.9068994181213595E-2</v>
      </c>
      <c r="I83" s="11">
        <f t="shared" si="21"/>
        <v>26.586695436693528</v>
      </c>
      <c r="J83" s="11">
        <f t="shared" si="22"/>
        <v>1.4694941789302881E-3</v>
      </c>
      <c r="K83" s="11">
        <f t="shared" si="23"/>
        <v>1</v>
      </c>
      <c r="L83" s="11">
        <f t="shared" si="29"/>
        <v>3.619763010909819E-2</v>
      </c>
      <c r="M83" s="11">
        <f t="shared" si="26"/>
        <v>706.87046668954747</v>
      </c>
      <c r="N83" s="11">
        <f t="shared" si="27"/>
        <v>3.8333217002861728E-2</v>
      </c>
      <c r="O83" s="11">
        <f t="shared" si="28"/>
        <v>1.9166608501430864E-2</v>
      </c>
    </row>
    <row r="84" spans="1:15" ht="16.5" thickTop="1" thickBot="1" x14ac:dyDescent="0.3">
      <c r="A84" s="10" t="s">
        <v>69</v>
      </c>
      <c r="B84" s="11">
        <f t="shared" si="17"/>
        <v>16458</v>
      </c>
      <c r="C84" s="11">
        <v>24121</v>
      </c>
      <c r="D84" s="11">
        <f t="shared" si="18"/>
        <v>7663</v>
      </c>
      <c r="E84" s="11">
        <v>0.68230000000000002</v>
      </c>
      <c r="F84" s="11">
        <f t="shared" si="19"/>
        <v>0.31769999999999998</v>
      </c>
      <c r="G84" s="11">
        <f t="shared" si="20"/>
        <v>2.1477228239592847</v>
      </c>
      <c r="H84" s="11">
        <f t="shared" si="25"/>
        <v>0.46563095412575112</v>
      </c>
      <c r="I84" s="11">
        <f t="shared" si="21"/>
        <v>3.1477690516770989</v>
      </c>
      <c r="J84" s="11">
        <f t="shared" si="22"/>
        <v>0.1479241159314619</v>
      </c>
      <c r="K84" s="11">
        <f t="shared" si="23"/>
        <v>1</v>
      </c>
      <c r="L84" s="11">
        <f t="shared" si="29"/>
        <v>0.21676305649301811</v>
      </c>
      <c r="M84" s="11">
        <f t="shared" si="26"/>
        <v>9.9081589764742155</v>
      </c>
      <c r="N84" s="11">
        <f t="shared" si="27"/>
        <v>0.37768303802459402</v>
      </c>
      <c r="O84" s="11">
        <f t="shared" si="28"/>
        <v>0.18884151901229701</v>
      </c>
    </row>
    <row r="85" spans="1:15" ht="16.5" thickTop="1" thickBot="1" x14ac:dyDescent="0.3">
      <c r="A85" s="10" t="s">
        <v>70</v>
      </c>
      <c r="B85" s="11">
        <f t="shared" si="17"/>
        <v>15330</v>
      </c>
      <c r="C85" s="11">
        <v>22096</v>
      </c>
      <c r="D85" s="11">
        <f t="shared" si="18"/>
        <v>6766</v>
      </c>
      <c r="E85" s="11">
        <v>0.69379999999999997</v>
      </c>
      <c r="F85" s="11">
        <f t="shared" si="19"/>
        <v>0.30620000000000003</v>
      </c>
      <c r="G85" s="11">
        <f t="shared" si="20"/>
        <v>2.2657404670410877</v>
      </c>
      <c r="H85" s="11">
        <f t="shared" si="25"/>
        <v>0.44133756125684642</v>
      </c>
      <c r="I85" s="11">
        <f t="shared" si="21"/>
        <v>3.2656968392059493</v>
      </c>
      <c r="J85" s="11">
        <f t="shared" si="22"/>
        <v>0.13514345727332031</v>
      </c>
      <c r="K85" s="11">
        <f t="shared" si="23"/>
        <v>1</v>
      </c>
      <c r="L85" s="11">
        <f t="shared" si="29"/>
        <v>0.21244515244124643</v>
      </c>
      <c r="M85" s="11">
        <f t="shared" si="26"/>
        <v>10.665060798069742</v>
      </c>
      <c r="N85" s="11">
        <f t="shared" si="27"/>
        <v>0.36156682520173139</v>
      </c>
      <c r="O85" s="11">
        <f t="shared" si="28"/>
        <v>0.18078341260086569</v>
      </c>
    </row>
    <row r="86" spans="1:15" ht="16.5" thickTop="1" thickBot="1" x14ac:dyDescent="0.3">
      <c r="A86" s="10" t="s">
        <v>71</v>
      </c>
      <c r="B86" s="11">
        <f t="shared" si="17"/>
        <v>13800</v>
      </c>
      <c r="C86" s="11">
        <v>21743</v>
      </c>
      <c r="D86" s="11">
        <f t="shared" si="18"/>
        <v>7943</v>
      </c>
      <c r="E86" s="11">
        <v>0.63470000000000004</v>
      </c>
      <c r="F86" s="11">
        <f t="shared" si="19"/>
        <v>0.36529999999999996</v>
      </c>
      <c r="G86" s="11">
        <f t="shared" si="20"/>
        <v>1.7373788241218684</v>
      </c>
      <c r="H86" s="11">
        <f t="shared" si="25"/>
        <v>0.57554750275720801</v>
      </c>
      <c r="I86" s="11">
        <f t="shared" si="21"/>
        <v>2.7373228676884644</v>
      </c>
      <c r="J86" s="11">
        <f t="shared" si="22"/>
        <v>0.21025926811594201</v>
      </c>
      <c r="K86" s="11">
        <f t="shared" si="23"/>
        <v>1</v>
      </c>
      <c r="L86" s="11">
        <f t="shared" si="29"/>
        <v>0.23185940510554903</v>
      </c>
      <c r="M86" s="11">
        <f t="shared" si="26"/>
        <v>7.4932428267508229</v>
      </c>
      <c r="N86" s="11">
        <f t="shared" si="27"/>
        <v>0.4469515797766086</v>
      </c>
      <c r="O86" s="11">
        <f t="shared" si="28"/>
        <v>0.2234757898883043</v>
      </c>
    </row>
    <row r="87" spans="1:15" ht="16.5" thickTop="1" thickBot="1" x14ac:dyDescent="0.3">
      <c r="A87" s="10" t="s">
        <v>72</v>
      </c>
      <c r="B87" s="11">
        <f t="shared" si="17"/>
        <v>20334</v>
      </c>
      <c r="C87" s="11">
        <v>24898</v>
      </c>
      <c r="D87" s="11">
        <f t="shared" si="18"/>
        <v>4564</v>
      </c>
      <c r="E87" s="11">
        <v>0.81669999999999998</v>
      </c>
      <c r="F87" s="11">
        <f t="shared" si="19"/>
        <v>0.18330000000000002</v>
      </c>
      <c r="G87" s="11">
        <f t="shared" si="20"/>
        <v>4.4553023663453111</v>
      </c>
      <c r="H87" s="11">
        <f t="shared" si="25"/>
        <v>0.22443981878290684</v>
      </c>
      <c r="I87" s="11">
        <f t="shared" si="21"/>
        <v>5.4552496220709088</v>
      </c>
      <c r="J87" s="11">
        <f t="shared" si="22"/>
        <v>4.1141988787252878E-2</v>
      </c>
      <c r="K87" s="11">
        <f t="shared" si="23"/>
        <v>1</v>
      </c>
      <c r="L87" s="11">
        <f t="shared" si="29"/>
        <v>0.14970611140122114</v>
      </c>
      <c r="M87" s="11">
        <f t="shared" si="26"/>
        <v>29.760323908252751</v>
      </c>
      <c r="N87" s="11">
        <f t="shared" si="27"/>
        <v>0.20180403254333215</v>
      </c>
      <c r="O87" s="11">
        <f t="shared" si="28"/>
        <v>0.10090201627166608</v>
      </c>
    </row>
    <row r="88" spans="1:15" ht="16.5" thickTop="1" thickBot="1" x14ac:dyDescent="0.3">
      <c r="A88" s="10" t="s">
        <v>73</v>
      </c>
      <c r="B88" s="11">
        <f t="shared" si="17"/>
        <v>31009</v>
      </c>
      <c r="C88" s="11">
        <v>34200</v>
      </c>
      <c r="D88" s="11">
        <f t="shared" si="18"/>
        <v>3191</v>
      </c>
      <c r="E88" s="11">
        <v>0.90669999999999995</v>
      </c>
      <c r="F88" s="11">
        <f t="shared" si="19"/>
        <v>9.330000000000005E-2</v>
      </c>
      <c r="G88" s="11">
        <f t="shared" si="20"/>
        <v>9.717643371983705</v>
      </c>
      <c r="H88" s="11">
        <f t="shared" si="25"/>
        <v>0.10290062865335839</v>
      </c>
      <c r="I88" s="11">
        <f t="shared" si="21"/>
        <v>10.71759498398997</v>
      </c>
      <c r="J88" s="11">
        <f t="shared" si="22"/>
        <v>9.6010932309974571E-3</v>
      </c>
      <c r="K88" s="11">
        <f t="shared" si="23"/>
        <v>1</v>
      </c>
      <c r="L88" s="11">
        <f t="shared" si="29"/>
        <v>8.4598439690845045E-2</v>
      </c>
      <c r="M88" s="11">
        <f t="shared" si="26"/>
        <v>114.86787944902622</v>
      </c>
      <c r="N88" s="11">
        <f t="shared" si="27"/>
        <v>9.7869925930469726E-2</v>
      </c>
      <c r="O88" s="11">
        <f t="shared" si="28"/>
        <v>4.8934962965234863E-2</v>
      </c>
    </row>
    <row r="89" spans="1:15" ht="16.5" thickTop="1" thickBot="1" x14ac:dyDescent="0.3">
      <c r="A89" s="10" t="s">
        <v>74</v>
      </c>
      <c r="B89" s="11">
        <f t="shared" si="17"/>
        <v>32594</v>
      </c>
      <c r="C89" s="11">
        <v>33121</v>
      </c>
      <c r="D89" s="11">
        <f t="shared" si="18"/>
        <v>527</v>
      </c>
      <c r="E89" s="11">
        <v>0.98409999999999997</v>
      </c>
      <c r="F89" s="11">
        <f t="shared" si="19"/>
        <v>1.5900000000000025E-2</v>
      </c>
      <c r="G89" s="11">
        <f t="shared" si="20"/>
        <v>61.848197343453513</v>
      </c>
      <c r="H89" s="11">
        <f t="shared" si="25"/>
        <v>1.6156894624530054E-2</v>
      </c>
      <c r="I89" s="11">
        <f t="shared" si="21"/>
        <v>62.847472150648834</v>
      </c>
      <c r="J89" s="11">
        <f t="shared" si="22"/>
        <v>2.5708105786341083E-4</v>
      </c>
      <c r="K89" s="11">
        <f t="shared" si="23"/>
        <v>1</v>
      </c>
      <c r="L89" s="11">
        <f t="shared" si="29"/>
        <v>1.5658184104926153E-2</v>
      </c>
      <c r="M89" s="11">
        <f t="shared" si="26"/>
        <v>3949.8959093216768</v>
      </c>
      <c r="N89" s="11">
        <f t="shared" si="27"/>
        <v>1.6038956098303279E-2</v>
      </c>
      <c r="O89" s="11">
        <f t="shared" si="28"/>
        <v>8.0194780491516394E-3</v>
      </c>
    </row>
    <row r="90" spans="1:15" ht="16.5" thickTop="1" thickBot="1" x14ac:dyDescent="0.3">
      <c r="A90" s="10" t="s">
        <v>75</v>
      </c>
      <c r="B90" s="11">
        <f t="shared" si="17"/>
        <v>16086</v>
      </c>
      <c r="C90" s="11">
        <v>22999</v>
      </c>
      <c r="D90" s="11">
        <f t="shared" si="18"/>
        <v>6913</v>
      </c>
      <c r="E90" s="11">
        <v>0.69940000000000002</v>
      </c>
      <c r="F90" s="11">
        <f t="shared" si="19"/>
        <v>0.30059999999999998</v>
      </c>
      <c r="G90" s="11">
        <f t="shared" si="20"/>
        <v>2.3269202950961954</v>
      </c>
      <c r="H90" s="11">
        <f t="shared" si="25"/>
        <v>0.42979696883042606</v>
      </c>
      <c r="I90" s="11">
        <f t="shared" si="21"/>
        <v>3.3270235846385408</v>
      </c>
      <c r="J90" s="11">
        <f t="shared" si="22"/>
        <v>0.12918362551286833</v>
      </c>
      <c r="K90" s="11">
        <f t="shared" si="23"/>
        <v>1</v>
      </c>
      <c r="L90" s="11">
        <f t="shared" si="29"/>
        <v>0.21023097999026194</v>
      </c>
      <c r="M90" s="11">
        <f t="shared" si="26"/>
        <v>11.068398649922957</v>
      </c>
      <c r="N90" s="11">
        <f t="shared" si="27"/>
        <v>0.35374184469745429</v>
      </c>
      <c r="O90" s="11">
        <f t="shared" si="28"/>
        <v>0.17687092234872714</v>
      </c>
    </row>
    <row r="91" spans="1:15" ht="16.5" thickTop="1" thickBot="1" x14ac:dyDescent="0.3">
      <c r="A91" s="10" t="s">
        <v>76</v>
      </c>
      <c r="B91" s="11">
        <f t="shared" si="17"/>
        <v>19087</v>
      </c>
      <c r="C91" s="11">
        <v>27008</v>
      </c>
      <c r="D91" s="11">
        <f t="shared" si="18"/>
        <v>7921</v>
      </c>
      <c r="E91" s="11">
        <v>0.70669999999999999</v>
      </c>
      <c r="F91" s="11">
        <f t="shared" si="19"/>
        <v>0.29330000000000001</v>
      </c>
      <c r="G91" s="11">
        <f t="shared" si="20"/>
        <v>2.4096704961494759</v>
      </c>
      <c r="H91" s="11">
        <f t="shared" si="25"/>
        <v>0.41502759303806425</v>
      </c>
      <c r="I91" s="11">
        <f t="shared" si="21"/>
        <v>3.4097502421812309</v>
      </c>
      <c r="J91" s="11">
        <f t="shared" si="22"/>
        <v>0.12171788651962069</v>
      </c>
      <c r="K91" s="11">
        <f t="shared" si="23"/>
        <v>1</v>
      </c>
      <c r="L91" s="11">
        <f t="shared" si="29"/>
        <v>0.20726827687136057</v>
      </c>
      <c r="M91" s="11">
        <f t="shared" si="26"/>
        <v>11.625852892312214</v>
      </c>
      <c r="N91" s="11">
        <f t="shared" si="27"/>
        <v>0.34368152728061613</v>
      </c>
      <c r="O91" s="11">
        <f t="shared" si="28"/>
        <v>0.17184076364030806</v>
      </c>
    </row>
    <row r="92" spans="1:15" ht="16.5" thickTop="1" thickBot="1" x14ac:dyDescent="0.3">
      <c r="A92" s="10" t="s">
        <v>78</v>
      </c>
      <c r="B92" s="11">
        <f t="shared" si="17"/>
        <v>21166</v>
      </c>
      <c r="C92" s="11">
        <v>27396</v>
      </c>
      <c r="D92" s="11">
        <f t="shared" si="18"/>
        <v>6230</v>
      </c>
      <c r="E92" s="11">
        <v>0.77259999999999995</v>
      </c>
      <c r="F92" s="11">
        <f t="shared" si="19"/>
        <v>0.22740000000000005</v>
      </c>
      <c r="G92" s="11">
        <f t="shared" si="20"/>
        <v>3.3974317817014446</v>
      </c>
      <c r="H92" s="11">
        <f t="shared" si="25"/>
        <v>0.29433083096039353</v>
      </c>
      <c r="I92" s="11">
        <f t="shared" si="21"/>
        <v>4.3974007011408816</v>
      </c>
      <c r="J92" s="11">
        <f t="shared" si="22"/>
        <v>6.6932911272796006E-2</v>
      </c>
      <c r="K92" s="11">
        <f t="shared" si="23"/>
        <v>1</v>
      </c>
      <c r="L92" s="11">
        <f t="shared" si="29"/>
        <v>0.17569221711721006</v>
      </c>
      <c r="M92" s="11">
        <f t="shared" si="26"/>
        <v>19.337406274717942</v>
      </c>
      <c r="N92" s="11">
        <f t="shared" si="27"/>
        <v>0.25657921831885011</v>
      </c>
      <c r="O92" s="11">
        <f t="shared" si="28"/>
        <v>0.12828960915942506</v>
      </c>
    </row>
    <row r="93" spans="1:15" ht="16.5" thickTop="1" thickBot="1" x14ac:dyDescent="0.3">
      <c r="A93" s="10" t="s">
        <v>79</v>
      </c>
      <c r="B93" s="11">
        <f t="shared" si="17"/>
        <v>17181</v>
      </c>
      <c r="C93" s="11">
        <v>24555</v>
      </c>
      <c r="D93" s="11">
        <f t="shared" si="18"/>
        <v>7374</v>
      </c>
      <c r="E93" s="11">
        <v>0.69969999999999999</v>
      </c>
      <c r="F93" s="11">
        <f t="shared" si="19"/>
        <v>0.30030000000000001</v>
      </c>
      <c r="G93" s="11">
        <f t="shared" si="20"/>
        <v>2.3299430431244916</v>
      </c>
      <c r="H93" s="11">
        <f t="shared" si="25"/>
        <v>0.42918393597255972</v>
      </c>
      <c r="I93" s="11">
        <f t="shared" si="21"/>
        <v>3.3299171689645441</v>
      </c>
      <c r="J93" s="11">
        <f t="shared" si="22"/>
        <v>0.1288872708224201</v>
      </c>
      <c r="K93" s="11">
        <f t="shared" si="23"/>
        <v>1</v>
      </c>
      <c r="L93" s="11">
        <f t="shared" si="29"/>
        <v>0.21012208141821179</v>
      </c>
      <c r="M93" s="11">
        <f t="shared" si="26"/>
        <v>11.0885206704532</v>
      </c>
      <c r="N93" s="11">
        <f t="shared" si="27"/>
        <v>0.35336400230017251</v>
      </c>
      <c r="O93" s="11">
        <f t="shared" si="28"/>
        <v>0.17668200115008625</v>
      </c>
    </row>
    <row r="94" spans="1:15" ht="16.5" thickTop="1" thickBot="1" x14ac:dyDescent="0.3">
      <c r="A94" s="10" t="s">
        <v>80</v>
      </c>
      <c r="B94" s="11">
        <f t="shared" si="17"/>
        <v>19965</v>
      </c>
      <c r="C94" s="11">
        <v>26301</v>
      </c>
      <c r="D94" s="11">
        <f t="shared" si="18"/>
        <v>6336</v>
      </c>
      <c r="E94" s="11">
        <v>0.7591</v>
      </c>
      <c r="F94" s="11">
        <f t="shared" si="19"/>
        <v>0.2409</v>
      </c>
      <c r="G94" s="11">
        <f t="shared" si="20"/>
        <v>3.1510416666666665</v>
      </c>
      <c r="H94" s="11">
        <f t="shared" si="25"/>
        <v>0.31734949282044528</v>
      </c>
      <c r="I94" s="11">
        <f t="shared" si="21"/>
        <v>4.1510231414394241</v>
      </c>
      <c r="J94" s="11">
        <f t="shared" si="22"/>
        <v>7.6450909090909097E-2</v>
      </c>
      <c r="K94" s="11">
        <f t="shared" si="23"/>
        <v>1</v>
      </c>
      <c r="L94" s="11">
        <f t="shared" si="29"/>
        <v>0.18286894549667904</v>
      </c>
      <c r="M94" s="11">
        <f t="shared" si="26"/>
        <v>17.231146918402779</v>
      </c>
      <c r="N94" s="11">
        <f t="shared" si="27"/>
        <v>0.27389443651925821</v>
      </c>
      <c r="O94" s="11">
        <f t="shared" si="28"/>
        <v>0.13694721825962911</v>
      </c>
    </row>
    <row r="95" spans="1:15" ht="16.5" thickTop="1" thickBot="1" x14ac:dyDescent="0.3">
      <c r="A95" s="10" t="s">
        <v>81</v>
      </c>
      <c r="B95" s="11">
        <f t="shared" si="17"/>
        <v>20103</v>
      </c>
      <c r="C95" s="11">
        <v>27414</v>
      </c>
      <c r="D95" s="11">
        <f t="shared" si="18"/>
        <v>7311</v>
      </c>
      <c r="E95" s="11">
        <v>0.73329999999999995</v>
      </c>
      <c r="F95" s="11">
        <f t="shared" si="19"/>
        <v>0.26670000000000005</v>
      </c>
      <c r="G95" s="11">
        <f t="shared" si="20"/>
        <v>2.7496922445629872</v>
      </c>
      <c r="H95" s="11">
        <f t="shared" si="25"/>
        <v>0.36369834992499667</v>
      </c>
      <c r="I95" s="11">
        <f t="shared" si="21"/>
        <v>3.7497507767121059</v>
      </c>
      <c r="J95" s="11">
        <f t="shared" si="22"/>
        <v>9.6992672735412649E-2</v>
      </c>
      <c r="K95" s="11">
        <f t="shared" si="23"/>
        <v>1</v>
      </c>
      <c r="L95" s="11">
        <f t="shared" si="29"/>
        <v>0.19556576883592411</v>
      </c>
      <c r="M95" s="11">
        <f t="shared" si="26"/>
        <v>14.060191928935813</v>
      </c>
      <c r="N95" s="11">
        <f t="shared" si="27"/>
        <v>0.30772144706105181</v>
      </c>
      <c r="O95" s="11">
        <f t="shared" si="28"/>
        <v>0.15386072353052591</v>
      </c>
    </row>
    <row r="96" spans="1:15" ht="16.5" thickTop="1" thickBot="1" x14ac:dyDescent="0.3">
      <c r="A96" s="10" t="s">
        <v>82</v>
      </c>
      <c r="B96" s="11">
        <f t="shared" si="17"/>
        <v>19342</v>
      </c>
      <c r="C96" s="11">
        <v>22933</v>
      </c>
      <c r="D96" s="11">
        <f t="shared" si="18"/>
        <v>3591</v>
      </c>
      <c r="E96" s="11">
        <v>0.84340000000000004</v>
      </c>
      <c r="F96" s="11">
        <f t="shared" si="19"/>
        <v>0.15659999999999996</v>
      </c>
      <c r="G96" s="11">
        <f t="shared" si="20"/>
        <v>5.3862433862433861</v>
      </c>
      <c r="H96" s="11">
        <f t="shared" si="25"/>
        <v>0.18567702157932173</v>
      </c>
      <c r="I96" s="11">
        <f t="shared" si="21"/>
        <v>6.3863450157023784</v>
      </c>
      <c r="J96" s="11">
        <f t="shared" si="22"/>
        <v>2.907406679764243E-2</v>
      </c>
      <c r="K96" s="11">
        <f t="shared" si="23"/>
        <v>1</v>
      </c>
      <c r="L96" s="11">
        <f t="shared" si="29"/>
        <v>0.13206722179168878</v>
      </c>
      <c r="M96" s="11">
        <f t="shared" si="26"/>
        <v>40.784104588337392</v>
      </c>
      <c r="N96" s="11">
        <f t="shared" si="27"/>
        <v>0.16988764044943822</v>
      </c>
      <c r="O96" s="11">
        <f t="shared" si="28"/>
        <v>8.4943820224719108E-2</v>
      </c>
    </row>
    <row r="97" spans="1:15" ht="16.5" thickTop="1" thickBot="1" x14ac:dyDescent="0.3">
      <c r="A97" s="10" t="s">
        <v>84</v>
      </c>
      <c r="B97" s="11">
        <f t="shared" si="17"/>
        <v>14747</v>
      </c>
      <c r="C97" s="11">
        <v>21620</v>
      </c>
      <c r="D97" s="11">
        <f t="shared" si="18"/>
        <v>6873</v>
      </c>
      <c r="E97" s="11">
        <v>0.68210000000000004</v>
      </c>
      <c r="F97" s="11">
        <f t="shared" si="19"/>
        <v>0.31789999999999996</v>
      </c>
      <c r="G97" s="11">
        <f t="shared" si="20"/>
        <v>2.1456423686890731</v>
      </c>
      <c r="H97" s="11">
        <f t="shared" si="25"/>
        <v>0.4660606949127693</v>
      </c>
      <c r="I97" s="11">
        <f t="shared" si="21"/>
        <v>3.1456419420745827</v>
      </c>
      <c r="J97" s="11">
        <f t="shared" si="22"/>
        <v>0.14816075812029564</v>
      </c>
      <c r="K97" s="11">
        <f t="shared" si="23"/>
        <v>1</v>
      </c>
      <c r="L97" s="11">
        <f t="shared" si="29"/>
        <v>0.21683962369101828</v>
      </c>
      <c r="M97" s="11">
        <f t="shared" si="26"/>
        <v>9.8950659116918036</v>
      </c>
      <c r="N97" s="11">
        <f t="shared" si="27"/>
        <v>0.3779800368465917</v>
      </c>
      <c r="O97" s="11">
        <f t="shared" si="28"/>
        <v>0.18899001842329585</v>
      </c>
    </row>
    <row r="98" spans="1:15" ht="16.5" thickTop="1" thickBot="1" x14ac:dyDescent="0.3">
      <c r="A98" s="10" t="s">
        <v>85</v>
      </c>
      <c r="B98" s="11">
        <f t="shared" si="17"/>
        <v>21224</v>
      </c>
      <c r="C98" s="11">
        <v>29902</v>
      </c>
      <c r="D98" s="11">
        <f t="shared" si="18"/>
        <v>8678</v>
      </c>
      <c r="E98" s="11">
        <v>0.70979999999999999</v>
      </c>
      <c r="F98" s="11">
        <f t="shared" si="19"/>
        <v>0.29020000000000001</v>
      </c>
      <c r="G98" s="11">
        <f t="shared" si="20"/>
        <v>2.4457248213874165</v>
      </c>
      <c r="H98" s="11">
        <f t="shared" si="25"/>
        <v>0.40884756269371658</v>
      </c>
      <c r="I98" s="11">
        <f t="shared" si="21"/>
        <v>3.4456534536311869</v>
      </c>
      <c r="J98" s="11">
        <f t="shared" si="22"/>
        <v>0.11865603090840558</v>
      </c>
      <c r="K98" s="11">
        <f t="shared" si="23"/>
        <v>1</v>
      </c>
      <c r="L98" s="11">
        <f t="shared" si="29"/>
        <v>0.20599012847358983</v>
      </c>
      <c r="M98" s="11">
        <f t="shared" si="26"/>
        <v>11.873019544725343</v>
      </c>
      <c r="N98" s="11">
        <f t="shared" si="27"/>
        <v>0.33947502249344758</v>
      </c>
      <c r="O98" s="11">
        <f t="shared" si="28"/>
        <v>0.16973751124672379</v>
      </c>
    </row>
    <row r="99" spans="1:15" ht="16.5" thickTop="1" thickBot="1" x14ac:dyDescent="0.3">
      <c r="A99" s="10" t="s">
        <v>86</v>
      </c>
      <c r="B99" s="11">
        <f t="shared" si="17"/>
        <v>13277</v>
      </c>
      <c r="C99" s="11">
        <v>19220</v>
      </c>
      <c r="D99" s="11">
        <f t="shared" si="18"/>
        <v>5943</v>
      </c>
      <c r="E99" s="11">
        <v>0.69079999999999997</v>
      </c>
      <c r="F99" s="11">
        <f t="shared" si="19"/>
        <v>0.30920000000000003</v>
      </c>
      <c r="G99" s="11">
        <f t="shared" si="20"/>
        <v>2.2340568736328454</v>
      </c>
      <c r="H99" s="11">
        <f t="shared" si="25"/>
        <v>0.44759698899826295</v>
      </c>
      <c r="I99" s="11">
        <f t="shared" si="21"/>
        <v>3.2340140035217799</v>
      </c>
      <c r="J99" s="11">
        <f t="shared" si="22"/>
        <v>0.13840292234691573</v>
      </c>
      <c r="K99" s="11">
        <f t="shared" si="23"/>
        <v>1</v>
      </c>
      <c r="L99" s="11">
        <f t="shared" si="29"/>
        <v>0.21359885427618863</v>
      </c>
      <c r="M99" s="11">
        <f t="shared" si="26"/>
        <v>10.459123861891854</v>
      </c>
      <c r="N99" s="11">
        <f t="shared" si="27"/>
        <v>0.36575683909283935</v>
      </c>
      <c r="O99" s="11">
        <f t="shared" si="28"/>
        <v>0.18287841954641967</v>
      </c>
    </row>
    <row r="100" spans="1:15" ht="16.5" thickTop="1" thickBot="1" x14ac:dyDescent="0.3">
      <c r="A100" s="10" t="s">
        <v>87</v>
      </c>
      <c r="B100" s="11">
        <f t="shared" si="17"/>
        <v>17008</v>
      </c>
      <c r="C100" s="11">
        <v>24876</v>
      </c>
      <c r="D100" s="11">
        <f t="shared" si="18"/>
        <v>7868</v>
      </c>
      <c r="E100" s="11">
        <v>0.68369999999999997</v>
      </c>
      <c r="F100" s="11">
        <f t="shared" si="19"/>
        <v>0.31630000000000003</v>
      </c>
      <c r="G100" s="11">
        <f t="shared" si="20"/>
        <v>2.1616675139806811</v>
      </c>
      <c r="H100" s="11">
        <f t="shared" ref="H100:H105" si="30">F:F/E:E</f>
        <v>0.46262980839549517</v>
      </c>
      <c r="I100" s="11">
        <f t="shared" si="21"/>
        <v>3.1617193417883298</v>
      </c>
      <c r="J100" s="11">
        <f t="shared" si="22"/>
        <v>0.14632222483537161</v>
      </c>
      <c r="K100" s="11">
        <f t="shared" si="23"/>
        <v>1</v>
      </c>
      <c r="L100" s="11">
        <f t="shared" si="29"/>
        <v>0.21625019220595448</v>
      </c>
      <c r="M100" s="11">
        <f t="shared" ref="M100:M105" si="31">(C100*C100)/(D100*D100)</f>
        <v>9.996141468960781</v>
      </c>
      <c r="N100" s="11">
        <f t="shared" ref="N100:N105" si="32">(2*D100)/(B100+C100)</f>
        <v>0.37570432623436156</v>
      </c>
      <c r="O100" s="11">
        <f t="shared" ref="O100:O105" si="33">D100/(B100+C100)</f>
        <v>0.18785216311718078</v>
      </c>
    </row>
    <row r="101" spans="1:15" ht="16.5" thickTop="1" thickBot="1" x14ac:dyDescent="0.3">
      <c r="A101" s="10" t="s">
        <v>88</v>
      </c>
      <c r="B101" s="11">
        <f t="shared" si="17"/>
        <v>24230</v>
      </c>
      <c r="C101" s="11">
        <v>28634</v>
      </c>
      <c r="D101" s="11">
        <f t="shared" si="18"/>
        <v>4404</v>
      </c>
      <c r="E101" s="11">
        <v>0.84619999999999995</v>
      </c>
      <c r="F101" s="11">
        <f t="shared" si="19"/>
        <v>0.15380000000000005</v>
      </c>
      <c r="G101" s="11">
        <f t="shared" si="20"/>
        <v>5.5018165304268845</v>
      </c>
      <c r="H101" s="11">
        <f t="shared" si="30"/>
        <v>0.18175372252422603</v>
      </c>
      <c r="I101" s="11">
        <f t="shared" si="21"/>
        <v>6.5017921654772923</v>
      </c>
      <c r="J101" s="11">
        <f t="shared" si="22"/>
        <v>2.795440363186134E-2</v>
      </c>
      <c r="K101" s="11">
        <f t="shared" si="23"/>
        <v>1</v>
      </c>
      <c r="L101" s="11">
        <f t="shared" si="29"/>
        <v>0.13014775562869554</v>
      </c>
      <c r="M101" s="11">
        <f t="shared" si="31"/>
        <v>42.27361819533229</v>
      </c>
      <c r="N101" s="11">
        <f t="shared" si="32"/>
        <v>0.16661622276029056</v>
      </c>
      <c r="O101" s="11">
        <f t="shared" si="33"/>
        <v>8.3308111380145281E-2</v>
      </c>
    </row>
    <row r="102" spans="1:15" ht="16.5" thickTop="1" thickBot="1" x14ac:dyDescent="0.3">
      <c r="A102" s="10" t="s">
        <v>89</v>
      </c>
      <c r="B102" s="11">
        <f t="shared" si="17"/>
        <v>15923</v>
      </c>
      <c r="C102" s="11">
        <v>24002</v>
      </c>
      <c r="D102" s="11">
        <f t="shared" si="18"/>
        <v>8079</v>
      </c>
      <c r="E102" s="11">
        <v>0.66339999999999999</v>
      </c>
      <c r="F102" s="11">
        <f t="shared" si="19"/>
        <v>0.33660000000000001</v>
      </c>
      <c r="G102" s="11">
        <f t="shared" si="20"/>
        <v>1.9709122416140612</v>
      </c>
      <c r="H102" s="11">
        <f t="shared" si="30"/>
        <v>0.50738619234247817</v>
      </c>
      <c r="I102" s="11">
        <f t="shared" si="21"/>
        <v>2.9709258993277983</v>
      </c>
      <c r="J102" s="11">
        <f t="shared" si="22"/>
        <v>0.17078385982540978</v>
      </c>
      <c r="K102" s="11">
        <f t="shared" si="23"/>
        <v>1</v>
      </c>
      <c r="L102" s="11">
        <f t="shared" si="29"/>
        <v>0.22329944333375379</v>
      </c>
      <c r="M102" s="11">
        <f t="shared" si="31"/>
        <v>8.826319547372286</v>
      </c>
      <c r="N102" s="11">
        <f t="shared" si="32"/>
        <v>0.40470882905447714</v>
      </c>
      <c r="O102" s="11">
        <f t="shared" si="33"/>
        <v>0.20235441452723857</v>
      </c>
    </row>
    <row r="103" spans="1:15" ht="16.5" thickTop="1" thickBot="1" x14ac:dyDescent="0.3">
      <c r="A103" s="10" t="s">
        <v>91</v>
      </c>
      <c r="B103" s="11">
        <f t="shared" si="17"/>
        <v>29639</v>
      </c>
      <c r="C103" s="11">
        <v>31045</v>
      </c>
      <c r="D103" s="11">
        <f t="shared" si="18"/>
        <v>1406</v>
      </c>
      <c r="E103" s="11">
        <v>0.95469999999999999</v>
      </c>
      <c r="F103" s="11">
        <f t="shared" si="19"/>
        <v>4.5300000000000007E-2</v>
      </c>
      <c r="G103" s="11">
        <f t="shared" si="20"/>
        <v>21.080369843527738</v>
      </c>
      <c r="H103" s="11">
        <f t="shared" si="30"/>
        <v>4.744946056352782E-2</v>
      </c>
      <c r="I103" s="11">
        <f t="shared" si="21"/>
        <v>22.080622021082789</v>
      </c>
      <c r="J103" s="11">
        <f t="shared" si="22"/>
        <v>2.1489186544755225E-3</v>
      </c>
      <c r="K103" s="11">
        <f t="shared" si="23"/>
        <v>1</v>
      </c>
      <c r="L103" s="11">
        <f t="shared" si="29"/>
        <v>4.3237994213533776E-2</v>
      </c>
      <c r="M103" s="11">
        <f t="shared" si="31"/>
        <v>487.54273242696917</v>
      </c>
      <c r="N103" s="11">
        <f t="shared" si="32"/>
        <v>4.6338408806275128E-2</v>
      </c>
      <c r="O103" s="11">
        <f t="shared" si="33"/>
        <v>2.3169204403137564E-2</v>
      </c>
    </row>
    <row r="104" spans="1:15" ht="16.5" thickTop="1" thickBot="1" x14ac:dyDescent="0.3">
      <c r="A104" s="10" t="s">
        <v>92</v>
      </c>
      <c r="B104" s="11">
        <f t="shared" si="17"/>
        <v>16874</v>
      </c>
      <c r="C104" s="11">
        <v>23787</v>
      </c>
      <c r="D104" s="11">
        <f t="shared" si="18"/>
        <v>6913</v>
      </c>
      <c r="E104" s="11">
        <v>0.70940000000000003</v>
      </c>
      <c r="F104" s="11">
        <f t="shared" si="19"/>
        <v>0.29059999999999997</v>
      </c>
      <c r="G104" s="11">
        <f t="shared" si="20"/>
        <v>2.4409084333863733</v>
      </c>
      <c r="H104" s="11">
        <f t="shared" si="30"/>
        <v>0.40964195094446004</v>
      </c>
      <c r="I104" s="11">
        <f t="shared" si="21"/>
        <v>3.4408069261155529</v>
      </c>
      <c r="J104" s="11">
        <f t="shared" si="22"/>
        <v>0.11905403579471376</v>
      </c>
      <c r="K104" s="11">
        <f t="shared" si="23"/>
        <v>1</v>
      </c>
      <c r="L104" s="11">
        <f t="shared" si="29"/>
        <v>0.20616040395604077</v>
      </c>
      <c r="M104" s="11">
        <f t="shared" si="31"/>
        <v>11.839850846949467</v>
      </c>
      <c r="N104" s="11">
        <f t="shared" si="32"/>
        <v>0.34003098792454689</v>
      </c>
      <c r="O104" s="11">
        <f t="shared" si="33"/>
        <v>0.17001549396227345</v>
      </c>
    </row>
    <row r="105" spans="1:15" ht="16.5" thickTop="1" thickBot="1" x14ac:dyDescent="0.3">
      <c r="A105" s="10" t="s">
        <v>93</v>
      </c>
      <c r="B105" s="11">
        <f t="shared" si="17"/>
        <v>9239</v>
      </c>
      <c r="C105" s="11">
        <v>21060</v>
      </c>
      <c r="D105" s="11">
        <f t="shared" si="18"/>
        <v>11821</v>
      </c>
      <c r="E105" s="11">
        <v>0.43869999999999998</v>
      </c>
      <c r="F105" s="11">
        <f t="shared" si="19"/>
        <v>0.56130000000000002</v>
      </c>
      <c r="G105" s="11">
        <f t="shared" si="20"/>
        <v>0.78157516284578288</v>
      </c>
      <c r="H105" s="11">
        <f t="shared" si="30"/>
        <v>1.2794620469569182</v>
      </c>
      <c r="I105" s="11">
        <f t="shared" si="21"/>
        <v>1.781570920551135</v>
      </c>
      <c r="J105" s="11">
        <f t="shared" si="22"/>
        <v>0.71816509362485126</v>
      </c>
      <c r="K105" s="11">
        <f t="shared" si="23"/>
        <v>1</v>
      </c>
      <c r="L105" s="11">
        <f t="shared" si="29"/>
        <v>0.246242181926734</v>
      </c>
      <c r="M105" s="11">
        <f t="shared" si="31"/>
        <v>3.1740100608689779</v>
      </c>
      <c r="N105" s="11">
        <f t="shared" si="32"/>
        <v>0.78028977854054593</v>
      </c>
      <c r="O105" s="11">
        <f t="shared" si="33"/>
        <v>0.39014488927027297</v>
      </c>
    </row>
    <row r="106" spans="1:15" ht="15.75" thickTop="1" x14ac:dyDescent="0.25"/>
  </sheetData>
  <conditionalFormatting sqref="E36:E105">
    <cfRule type="cellIs" dxfId="59" priority="36" operator="greaterThan">
      <formula>$E$33</formula>
    </cfRule>
    <cfRule type="cellIs" dxfId="58" priority="37" operator="lessThan">
      <formula>$E$33</formula>
    </cfRule>
  </conditionalFormatting>
  <conditionalFormatting sqref="F2:F32">
    <cfRule type="cellIs" dxfId="57" priority="34" operator="lessThan">
      <formula>$F$33</formula>
    </cfRule>
    <cfRule type="cellIs" dxfId="56" priority="35" operator="greaterThan">
      <formula>$F$33</formula>
    </cfRule>
  </conditionalFormatting>
  <conditionalFormatting sqref="F36:F105">
    <cfRule type="cellIs" dxfId="55" priority="32" operator="greaterThan">
      <formula>$F$33</formula>
    </cfRule>
    <cfRule type="cellIs" dxfId="54" priority="33" operator="lessThan">
      <formula>$F$33</formula>
    </cfRule>
  </conditionalFormatting>
  <conditionalFormatting sqref="G2:G32">
    <cfRule type="cellIs" dxfId="53" priority="12" operator="greaterThan">
      <formula>$G$33</formula>
    </cfRule>
    <cfRule type="cellIs" dxfId="52" priority="13" operator="lessThan">
      <formula>$G$33</formula>
    </cfRule>
    <cfRule type="cellIs" dxfId="51" priority="30" operator="greaterThan">
      <formula>3.845608643</formula>
    </cfRule>
    <cfRule type="cellIs" dxfId="50" priority="31" operator="lessThan">
      <formula>3.845608643</formula>
    </cfRule>
  </conditionalFormatting>
  <conditionalFormatting sqref="G36:G105">
    <cfRule type="cellIs" dxfId="49" priority="28" operator="greaterThan">
      <formula>$G$33</formula>
    </cfRule>
    <cfRule type="cellIs" dxfId="48" priority="29" operator="lessThan">
      <formula>$G$33</formula>
    </cfRule>
  </conditionalFormatting>
  <conditionalFormatting sqref="H2:H32">
    <cfRule type="cellIs" dxfId="47" priority="26" operator="lessThan">
      <formula>$H$33</formula>
    </cfRule>
    <cfRule type="cellIs" dxfId="46" priority="27" operator="greaterThan">
      <formula>$H$33</formula>
    </cfRule>
  </conditionalFormatting>
  <conditionalFormatting sqref="H36:H105">
    <cfRule type="cellIs" dxfId="45" priority="24" operator="lessThan">
      <formula>$H$33</formula>
    </cfRule>
    <cfRule type="cellIs" dxfId="44" priority="25" operator="greaterThan">
      <formula>$H$33</formula>
    </cfRule>
  </conditionalFormatting>
  <conditionalFormatting sqref="J36:J105">
    <cfRule type="cellIs" dxfId="43" priority="20" operator="greaterThan">
      <formula>$J$33</formula>
    </cfRule>
    <cfRule type="cellIs" dxfId="42" priority="21" operator="lessThan">
      <formula>$J$33</formula>
    </cfRule>
  </conditionalFormatting>
  <conditionalFormatting sqref="J2:J32">
    <cfRule type="cellIs" dxfId="41" priority="18" operator="lessThan">
      <formula>$J$33</formula>
    </cfRule>
    <cfRule type="cellIs" dxfId="40" priority="19" operator="greaterThan">
      <formula>$J$33</formula>
    </cfRule>
  </conditionalFormatting>
  <conditionalFormatting sqref="I2:I32">
    <cfRule type="cellIs" dxfId="39" priority="16" operator="greaterThan">
      <formula>$I$33</formula>
    </cfRule>
    <cfRule type="cellIs" dxfId="38" priority="17" operator="lessThan">
      <formula>$I$33</formula>
    </cfRule>
  </conditionalFormatting>
  <conditionalFormatting sqref="I36:I105">
    <cfRule type="cellIs" dxfId="37" priority="14" operator="greaterThan">
      <formula>$I$33</formula>
    </cfRule>
    <cfRule type="cellIs" dxfId="36" priority="15" operator="lessThan">
      <formula>$I$33</formula>
    </cfRule>
  </conditionalFormatting>
  <conditionalFormatting sqref="E2:E32">
    <cfRule type="cellIs" dxfId="35" priority="10" operator="greaterThan">
      <formula>$E$33</formula>
    </cfRule>
    <cfRule type="cellIs" dxfId="34" priority="11" operator="lessThan">
      <formula>$E$33</formula>
    </cfRule>
  </conditionalFormatting>
  <conditionalFormatting sqref="M2:M32">
    <cfRule type="cellIs" dxfId="33" priority="8" operator="greaterThan">
      <formula>$M$33</formula>
    </cfRule>
    <cfRule type="cellIs" dxfId="32" priority="9" operator="lessThan">
      <formula>$M$33</formula>
    </cfRule>
  </conditionalFormatting>
  <conditionalFormatting sqref="M36:M105">
    <cfRule type="cellIs" dxfId="31" priority="6" operator="lessThan">
      <formula>$M$33</formula>
    </cfRule>
    <cfRule type="cellIs" dxfId="30" priority="7" operator="greaterThan">
      <formula>$M$33</formula>
    </cfRule>
  </conditionalFormatting>
  <conditionalFormatting sqref="N2:N32">
    <cfRule type="cellIs" dxfId="29" priority="4" operator="lessThan">
      <formula>$N$33</formula>
    </cfRule>
    <cfRule type="cellIs" dxfId="28" priority="5" operator="greaterThan">
      <formula>$N$33</formula>
    </cfRule>
  </conditionalFormatting>
  <conditionalFormatting sqref="N36:N105">
    <cfRule type="cellIs" dxfId="27" priority="1" operator="greaterThan">
      <formula>$N$33</formula>
    </cfRule>
    <cfRule type="cellIs" dxfId="26" priority="2" operator="greaterThan">
      <formula>$N$33</formula>
    </cfRule>
    <cfRule type="cellIs" dxfId="25" priority="3" operator="lessThan">
      <formula>$N$33</formula>
    </cfRule>
  </conditionalFormatting>
  <pageMargins left="0.7" right="0.7" top="0.75" bottom="0.75" header="0.3" footer="0.3"/>
  <pageSetup paperSize="9" scale="39" fitToHeight="0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X106"/>
  <sheetViews>
    <sheetView topLeftCell="B1" zoomScale="70" zoomScaleNormal="70" workbookViewId="0">
      <selection activeCell="I33" sqref="I33"/>
    </sheetView>
  </sheetViews>
  <sheetFormatPr baseColWidth="10" defaultColWidth="11.42578125" defaultRowHeight="15" x14ac:dyDescent="0.25"/>
  <cols>
    <col min="1" max="1" width="26.42578125" style="11" customWidth="1"/>
    <col min="2" max="2" width="27.42578125" style="11" customWidth="1"/>
    <col min="3" max="3" width="22.140625" style="11" customWidth="1"/>
    <col min="4" max="4" width="24.42578125" style="11" customWidth="1"/>
    <col min="5" max="5" width="21.140625" style="11" customWidth="1"/>
    <col min="6" max="6" width="20.85546875" style="11" customWidth="1"/>
    <col min="7" max="7" width="20.42578125" style="11" customWidth="1"/>
    <col min="8" max="8" width="19.85546875" style="11" customWidth="1"/>
    <col min="9" max="9" width="21.42578125" style="11" customWidth="1"/>
    <col min="10" max="10" width="21.28515625" style="11" customWidth="1"/>
    <col min="11" max="11" width="16.28515625" style="11" customWidth="1"/>
    <col min="12" max="16384" width="11.42578125" style="11"/>
  </cols>
  <sheetData>
    <row r="1" spans="1:24" ht="16.5" thickTop="1" thickBot="1" x14ac:dyDescent="0.3">
      <c r="A1" s="8" t="s">
        <v>137</v>
      </c>
      <c r="B1" s="8" t="s">
        <v>148</v>
      </c>
      <c r="C1" s="8" t="s">
        <v>149</v>
      </c>
      <c r="D1" s="8" t="s">
        <v>5</v>
      </c>
      <c r="E1" s="15" t="s">
        <v>147</v>
      </c>
      <c r="F1" s="15" t="s">
        <v>145</v>
      </c>
      <c r="G1" s="13" t="s">
        <v>351</v>
      </c>
      <c r="H1" s="13" t="s">
        <v>146</v>
      </c>
      <c r="I1" s="9" t="s">
        <v>352</v>
      </c>
      <c r="J1" s="9" t="s">
        <v>353</v>
      </c>
      <c r="K1" s="9" t="s">
        <v>355</v>
      </c>
      <c r="N1" s="8" t="s">
        <v>356</v>
      </c>
      <c r="O1" s="8"/>
      <c r="P1" s="8"/>
      <c r="R1" s="8" t="s">
        <v>362</v>
      </c>
      <c r="S1" s="8"/>
      <c r="T1" s="8"/>
      <c r="V1" s="8" t="s">
        <v>363</v>
      </c>
      <c r="W1" s="8"/>
      <c r="X1" s="8"/>
    </row>
    <row r="2" spans="1:24" ht="16.5" thickTop="1" thickBot="1" x14ac:dyDescent="0.3">
      <c r="A2" s="10" t="s">
        <v>12</v>
      </c>
      <c r="B2" s="11" t="s">
        <v>150</v>
      </c>
      <c r="C2" s="11" t="s">
        <v>151</v>
      </c>
      <c r="D2" s="11">
        <f>C:C-B:B</f>
        <v>15342</v>
      </c>
      <c r="E2" s="12">
        <v>0.44894220753564801</v>
      </c>
      <c r="F2" s="12">
        <v>0.55105779246435105</v>
      </c>
      <c r="G2" s="11">
        <f>B:B/D:D</f>
        <v>0.81469169599791424</v>
      </c>
      <c r="H2" s="11">
        <f>F:F/E:E</f>
        <v>1.2274581966557345</v>
      </c>
      <c r="I2" s="11">
        <f>G:G/E:E</f>
        <v>1.8146916959979178</v>
      </c>
      <c r="J2" s="11">
        <f>F:F/G:G</f>
        <v>0.67640040419138114</v>
      </c>
      <c r="K2" s="11">
        <f>E:E+F:F</f>
        <v>0.99999999999999911</v>
      </c>
    </row>
    <row r="3" spans="1:24" ht="16.5" thickTop="1" thickBot="1" x14ac:dyDescent="0.3">
      <c r="A3" s="10" t="s">
        <v>13</v>
      </c>
      <c r="B3" s="11" t="s">
        <v>152</v>
      </c>
      <c r="C3" s="11" t="s">
        <v>153</v>
      </c>
      <c r="D3" s="11">
        <f t="shared" ref="D3:D66" si="0">C:C-B:B</f>
        <v>12759</v>
      </c>
      <c r="E3" s="12">
        <v>0.301336107764757</v>
      </c>
      <c r="F3" s="12">
        <v>0.69866389223524195</v>
      </c>
      <c r="G3" s="11">
        <f t="shared" ref="G3:G66" si="1">B:B/D:D</f>
        <v>0.4313033936828905</v>
      </c>
      <c r="H3" s="11">
        <f t="shared" ref="H3:H66" si="2">F:F/E:E</f>
        <v>2.3185535162638571</v>
      </c>
      <c r="I3" s="11">
        <f t="shared" ref="I3:I66" si="3">G:G/E:E</f>
        <v>1.4313033936828925</v>
      </c>
      <c r="J3" s="11">
        <f t="shared" ref="J3:J66" si="4">F:F/G:G</f>
        <v>1.619889624028612</v>
      </c>
      <c r="K3" s="11">
        <f t="shared" ref="K3:K66" si="5">E:E+F:F</f>
        <v>0.99999999999999889</v>
      </c>
      <c r="O3" s="13">
        <v>0</v>
      </c>
      <c r="P3" s="13">
        <v>1</v>
      </c>
      <c r="S3" s="13">
        <v>0</v>
      </c>
      <c r="T3" s="13">
        <v>1</v>
      </c>
      <c r="W3" s="13">
        <v>0</v>
      </c>
      <c r="X3" s="13">
        <v>1</v>
      </c>
    </row>
    <row r="4" spans="1:24" ht="16.5" thickTop="1" thickBot="1" x14ac:dyDescent="0.3">
      <c r="A4" s="10" t="s">
        <v>14</v>
      </c>
      <c r="B4" s="11" t="s">
        <v>154</v>
      </c>
      <c r="C4" s="11" t="s">
        <v>155</v>
      </c>
      <c r="D4" s="11">
        <f t="shared" si="0"/>
        <v>14776</v>
      </c>
      <c r="E4" s="12">
        <v>0.262748228719688</v>
      </c>
      <c r="F4" s="12">
        <v>0.73725177128031105</v>
      </c>
      <c r="G4" s="11">
        <f t="shared" si="1"/>
        <v>0.35638873849485653</v>
      </c>
      <c r="H4" s="11">
        <f t="shared" si="2"/>
        <v>2.8059248006076776</v>
      </c>
      <c r="I4" s="11">
        <f t="shared" si="3"/>
        <v>1.3563887384948599</v>
      </c>
      <c r="J4" s="11">
        <f t="shared" si="4"/>
        <v>2.0686730293273596</v>
      </c>
      <c r="K4" s="11">
        <f t="shared" si="5"/>
        <v>0.99999999999999911</v>
      </c>
      <c r="N4" s="13">
        <v>0</v>
      </c>
      <c r="O4" s="14">
        <f>COUNTIF(E2:E32,"&lt;"&amp;E33)</f>
        <v>25</v>
      </c>
      <c r="P4" s="14">
        <f>COUNTIF(E2:E32,"&gt;"&amp;E33)</f>
        <v>6</v>
      </c>
      <c r="R4" s="13">
        <v>0</v>
      </c>
      <c r="S4" s="14">
        <f>COUNTIF(F2:F32,"&gt;"&amp;F33)</f>
        <v>25</v>
      </c>
      <c r="T4" s="14">
        <f>COUNTIF(F2:F32,"&lt;"&amp;F33)</f>
        <v>6</v>
      </c>
      <c r="V4" s="13">
        <v>0</v>
      </c>
      <c r="W4" s="14">
        <f>COUNTIF(G2:G32,"&lt;"&amp;G33)</f>
        <v>25</v>
      </c>
      <c r="X4" s="14">
        <f>COUNTIF(G2:G32,"&gt;"&amp;G33)</f>
        <v>6</v>
      </c>
    </row>
    <row r="5" spans="1:24" ht="16.5" thickTop="1" thickBot="1" x14ac:dyDescent="0.3">
      <c r="A5" s="10" t="s">
        <v>18</v>
      </c>
      <c r="B5" s="11" t="s">
        <v>323</v>
      </c>
      <c r="C5" s="11" t="s">
        <v>324</v>
      </c>
      <c r="D5" s="11">
        <f t="shared" si="0"/>
        <v>10950</v>
      </c>
      <c r="E5" s="12">
        <v>0.380831212892281</v>
      </c>
      <c r="F5" s="12">
        <v>0.61916878710771805</v>
      </c>
      <c r="G5" s="11">
        <f t="shared" si="1"/>
        <v>0.6150684931506849</v>
      </c>
      <c r="H5" s="11">
        <f t="shared" si="2"/>
        <v>1.6258351893095784</v>
      </c>
      <c r="I5" s="11">
        <f t="shared" si="3"/>
        <v>1.6150684931506873</v>
      </c>
      <c r="J5" s="11">
        <f t="shared" si="4"/>
        <v>1.0066664022018579</v>
      </c>
      <c r="K5" s="11">
        <f t="shared" si="5"/>
        <v>0.99999999999999911</v>
      </c>
      <c r="N5" s="13">
        <v>1</v>
      </c>
      <c r="O5" s="14">
        <f>COUNTIF(E36:E105,"&lt;"&amp;E33)</f>
        <v>16</v>
      </c>
      <c r="P5" s="14">
        <f>COUNTIF(E36:E105,"&gt;"&amp;E33)</f>
        <v>54</v>
      </c>
      <c r="R5" s="13">
        <v>1</v>
      </c>
      <c r="S5" s="14">
        <f>COUNTIF(F36:F105,"&gt;"&amp;F33)</f>
        <v>16</v>
      </c>
      <c r="T5" s="14">
        <f>COUNTIF(F36:F105,"&lt;"&amp;F33)</f>
        <v>54</v>
      </c>
      <c r="V5" s="13">
        <v>1</v>
      </c>
      <c r="W5" s="14">
        <f>COUNTIF(G36:G105,"&lt;"&amp;G33)</f>
        <v>6</v>
      </c>
      <c r="X5" s="14">
        <f>COUNTIF(G36:G105,"&gt;"&amp;G33)</f>
        <v>64</v>
      </c>
    </row>
    <row r="6" spans="1:24" ht="16.5" thickTop="1" thickBot="1" x14ac:dyDescent="0.3">
      <c r="A6" s="10" t="s">
        <v>22</v>
      </c>
      <c r="B6" s="11" t="s">
        <v>325</v>
      </c>
      <c r="C6" s="11" t="s">
        <v>326</v>
      </c>
      <c r="D6" s="11">
        <f t="shared" si="0"/>
        <v>12636</v>
      </c>
      <c r="E6" s="12">
        <v>0.29842873799344799</v>
      </c>
      <c r="F6" s="12">
        <v>0.70157126200655096</v>
      </c>
      <c r="G6" s="11">
        <f t="shared" si="1"/>
        <v>0.42537195314973092</v>
      </c>
      <c r="H6" s="11">
        <f t="shared" si="2"/>
        <v>2.3508837209302342</v>
      </c>
      <c r="I6" s="11">
        <f t="shared" si="3"/>
        <v>1.4253719531497331</v>
      </c>
      <c r="J6" s="11">
        <f t="shared" si="4"/>
        <v>1.6493124589236796</v>
      </c>
      <c r="K6" s="11">
        <f t="shared" si="5"/>
        <v>0.99999999999999889</v>
      </c>
    </row>
    <row r="7" spans="1:24" ht="16.5" thickTop="1" thickBot="1" x14ac:dyDescent="0.3">
      <c r="A7" s="10" t="s">
        <v>23</v>
      </c>
      <c r="B7" s="11" t="s">
        <v>327</v>
      </c>
      <c r="C7" s="11" t="s">
        <v>328</v>
      </c>
      <c r="D7" s="11">
        <f t="shared" si="0"/>
        <v>11782</v>
      </c>
      <c r="E7" s="12">
        <v>0.32060892630607701</v>
      </c>
      <c r="F7" s="12">
        <v>0.67939107369392204</v>
      </c>
      <c r="G7" s="11">
        <f t="shared" si="1"/>
        <v>0.47190629774231879</v>
      </c>
      <c r="H7" s="11">
        <f t="shared" si="2"/>
        <v>2.1190647482014429</v>
      </c>
      <c r="I7" s="11">
        <f t="shared" si="3"/>
        <v>1.4719062977423221</v>
      </c>
      <c r="J7" s="11">
        <f t="shared" si="4"/>
        <v>1.439673674507516</v>
      </c>
      <c r="K7" s="11">
        <f t="shared" si="5"/>
        <v>0.99999999999999911</v>
      </c>
    </row>
    <row r="8" spans="1:24" ht="16.5" thickTop="1" thickBot="1" x14ac:dyDescent="0.3">
      <c r="A8" s="10" t="s">
        <v>38</v>
      </c>
      <c r="B8" s="11" t="s">
        <v>208</v>
      </c>
      <c r="C8" s="11" t="s">
        <v>209</v>
      </c>
      <c r="D8" s="11">
        <f t="shared" si="0"/>
        <v>11125</v>
      </c>
      <c r="E8" s="12">
        <v>0.60462719454118896</v>
      </c>
      <c r="F8" s="12">
        <v>0.39537280545880998</v>
      </c>
      <c r="G8" s="11">
        <f t="shared" si="1"/>
        <v>1.5292584269662921</v>
      </c>
      <c r="H8" s="11">
        <f t="shared" si="2"/>
        <v>0.65391171457121089</v>
      </c>
      <c r="I8" s="11">
        <f t="shared" si="3"/>
        <v>2.5292584269662957</v>
      </c>
      <c r="J8" s="11">
        <f t="shared" si="4"/>
        <v>0.25853890911240002</v>
      </c>
      <c r="K8" s="11">
        <f t="shared" si="5"/>
        <v>0.99999999999999889</v>
      </c>
      <c r="N8" s="8" t="s">
        <v>364</v>
      </c>
      <c r="O8" s="8"/>
      <c r="P8" s="8"/>
      <c r="R8" s="8" t="s">
        <v>365</v>
      </c>
      <c r="S8" s="8"/>
      <c r="T8" s="8"/>
      <c r="V8" s="8" t="s">
        <v>366</v>
      </c>
      <c r="W8" s="8"/>
      <c r="X8" s="8"/>
    </row>
    <row r="9" spans="1:24" ht="16.5" thickTop="1" thickBot="1" x14ac:dyDescent="0.3">
      <c r="A9" s="10" t="s">
        <v>40</v>
      </c>
      <c r="B9" s="11" t="s">
        <v>329</v>
      </c>
      <c r="C9" s="11" t="s">
        <v>330</v>
      </c>
      <c r="D9" s="11">
        <f t="shared" si="0"/>
        <v>8569</v>
      </c>
      <c r="E9" s="12">
        <v>0.58358441053552301</v>
      </c>
      <c r="F9" s="12">
        <v>0.41641558946447599</v>
      </c>
      <c r="G9" s="11">
        <f t="shared" si="1"/>
        <v>1.4014470766717237</v>
      </c>
      <c r="H9" s="11">
        <f t="shared" si="2"/>
        <v>0.71354817220417954</v>
      </c>
      <c r="I9" s="11">
        <f t="shared" si="3"/>
        <v>2.4014470766717251</v>
      </c>
      <c r="J9" s="11">
        <f t="shared" si="4"/>
        <v>0.29713258273970311</v>
      </c>
      <c r="K9" s="11">
        <f t="shared" si="5"/>
        <v>0.999999999999999</v>
      </c>
    </row>
    <row r="10" spans="1:24" ht="16.5" thickTop="1" thickBot="1" x14ac:dyDescent="0.3">
      <c r="A10" s="10" t="s">
        <v>41</v>
      </c>
      <c r="B10" s="11" t="s">
        <v>331</v>
      </c>
      <c r="C10" s="11" t="s">
        <v>332</v>
      </c>
      <c r="D10" s="11">
        <f t="shared" si="0"/>
        <v>12297</v>
      </c>
      <c r="E10" s="12">
        <v>0.50636265103769396</v>
      </c>
      <c r="F10" s="12">
        <v>0.49363734896230499</v>
      </c>
      <c r="G10" s="11">
        <f t="shared" si="1"/>
        <v>1.0257786451980158</v>
      </c>
      <c r="H10" s="11">
        <f t="shared" si="2"/>
        <v>0.9748691929602018</v>
      </c>
      <c r="I10" s="11">
        <f t="shared" si="3"/>
        <v>2.0257786451980166</v>
      </c>
      <c r="J10" s="11">
        <f t="shared" si="4"/>
        <v>0.48123184399789637</v>
      </c>
      <c r="K10" s="11">
        <f t="shared" si="5"/>
        <v>0.99999999999999889</v>
      </c>
      <c r="O10" s="13">
        <v>0</v>
      </c>
      <c r="P10" s="13">
        <v>1</v>
      </c>
      <c r="S10" s="13">
        <v>0</v>
      </c>
      <c r="T10" s="13">
        <v>1</v>
      </c>
      <c r="W10" s="13">
        <v>0</v>
      </c>
      <c r="X10" s="13">
        <v>1</v>
      </c>
    </row>
    <row r="11" spans="1:24" ht="16.5" thickTop="1" thickBot="1" x14ac:dyDescent="0.3">
      <c r="A11" s="10" t="s">
        <v>42</v>
      </c>
      <c r="B11" s="11" t="s">
        <v>333</v>
      </c>
      <c r="C11" s="11" t="s">
        <v>334</v>
      </c>
      <c r="D11" s="11">
        <f t="shared" si="0"/>
        <v>9286</v>
      </c>
      <c r="E11" s="12">
        <v>0.490591913983213</v>
      </c>
      <c r="F11" s="12">
        <v>0.509408086016786</v>
      </c>
      <c r="G11" s="11">
        <f t="shared" si="1"/>
        <v>0.96306267499461551</v>
      </c>
      <c r="H11" s="11">
        <f t="shared" si="2"/>
        <v>1.0383540199038357</v>
      </c>
      <c r="I11" s="11">
        <f t="shared" si="3"/>
        <v>1.9630626749946176</v>
      </c>
      <c r="J11" s="11">
        <f t="shared" si="4"/>
        <v>0.52894593388704858</v>
      </c>
      <c r="K11" s="11">
        <f t="shared" si="5"/>
        <v>0.999999999999999</v>
      </c>
      <c r="N11" s="13">
        <v>0</v>
      </c>
      <c r="O11" s="14">
        <f>COUNTIF(H2:H32,"&gt;"&amp;H33)</f>
        <v>24</v>
      </c>
      <c r="P11" s="14">
        <f>COUNTIF(H2:H32,"&lt;"&amp;H33)</f>
        <v>7</v>
      </c>
      <c r="R11" s="13">
        <v>0</v>
      </c>
      <c r="S11" s="14">
        <f>COUNTIF(I2:I32,"&lt;"&amp;I33)</f>
        <v>25</v>
      </c>
      <c r="T11" s="14">
        <f>COUNTIF(I2:I32,"&gt;"&amp;I33)</f>
        <v>6</v>
      </c>
      <c r="V11" s="13">
        <v>0</v>
      </c>
      <c r="W11" s="14">
        <f>COUNTIF(J2:J32,"&gt;"&amp;J33)</f>
        <v>26</v>
      </c>
      <c r="X11" s="14">
        <f>COUNTIF(J2:J32,"&lt;"&amp;J33)</f>
        <v>5</v>
      </c>
    </row>
    <row r="12" spans="1:24" ht="16.5" thickTop="1" thickBot="1" x14ac:dyDescent="0.3">
      <c r="A12" s="10" t="s">
        <v>46</v>
      </c>
      <c r="B12" s="11" t="s">
        <v>335</v>
      </c>
      <c r="C12" s="11" t="s">
        <v>336</v>
      </c>
      <c r="D12" s="11">
        <f t="shared" si="0"/>
        <v>15854</v>
      </c>
      <c r="E12" s="12">
        <v>0.32830572384866302</v>
      </c>
      <c r="F12" s="12">
        <v>0.67169427615133603</v>
      </c>
      <c r="G12" s="11">
        <f t="shared" si="1"/>
        <v>0.48877254951431814</v>
      </c>
      <c r="H12" s="11">
        <f t="shared" si="2"/>
        <v>2.0459414117950701</v>
      </c>
      <c r="I12" s="11">
        <f t="shared" si="3"/>
        <v>1.4887725495143194</v>
      </c>
      <c r="J12" s="11">
        <f t="shared" si="4"/>
        <v>1.3742471356437322</v>
      </c>
      <c r="K12" s="11">
        <f t="shared" si="5"/>
        <v>0.99999999999999911</v>
      </c>
      <c r="N12" s="13">
        <v>1</v>
      </c>
      <c r="O12" s="14">
        <f>COUNTIF(H36:H105,"&gt;"&amp;H33)</f>
        <v>6</v>
      </c>
      <c r="P12" s="14">
        <f>COUNTIF(H36:H105,"&lt;"&amp;H33)</f>
        <v>64</v>
      </c>
      <c r="R12" s="13">
        <v>1</v>
      </c>
      <c r="S12" s="14">
        <f>COUNTIF(I36:I105,"&lt;"&amp;I33)</f>
        <v>6</v>
      </c>
      <c r="T12" s="14">
        <f>COUNTIF(I36:I105,"&gt;"&amp;I33)</f>
        <v>64</v>
      </c>
      <c r="V12" s="13">
        <v>1</v>
      </c>
      <c r="W12" s="14">
        <f>COUNTIF(J36:J105,"&gt;"&amp;J33)</f>
        <v>12</v>
      </c>
      <c r="X12" s="14">
        <f>COUNTIF(J36:J105,"&lt;"&amp;J33)</f>
        <v>58</v>
      </c>
    </row>
    <row r="13" spans="1:24" ht="16.5" thickTop="1" thickBot="1" x14ac:dyDescent="0.3">
      <c r="A13" s="10" t="s">
        <v>47</v>
      </c>
      <c r="B13" s="11" t="s">
        <v>337</v>
      </c>
      <c r="C13" s="11" t="s">
        <v>338</v>
      </c>
      <c r="D13" s="11">
        <f t="shared" si="0"/>
        <v>16490</v>
      </c>
      <c r="E13" s="12">
        <v>0.27773641102010399</v>
      </c>
      <c r="F13" s="12">
        <v>0.72226358897989495</v>
      </c>
      <c r="G13" s="11">
        <f t="shared" si="1"/>
        <v>0.38453608247422683</v>
      </c>
      <c r="H13" s="11">
        <f t="shared" si="2"/>
        <v>2.6005361930294901</v>
      </c>
      <c r="I13" s="11">
        <f t="shared" si="3"/>
        <v>1.3845360824742281</v>
      </c>
      <c r="J13" s="11">
        <f t="shared" si="4"/>
        <v>1.8782726040495927</v>
      </c>
      <c r="K13" s="11">
        <f t="shared" si="5"/>
        <v>0.99999999999999889</v>
      </c>
    </row>
    <row r="14" spans="1:24" ht="16.5" thickTop="1" thickBot="1" x14ac:dyDescent="0.3">
      <c r="A14" s="10" t="s">
        <v>51</v>
      </c>
      <c r="B14" s="11" t="s">
        <v>339</v>
      </c>
      <c r="C14" s="11" t="s">
        <v>340</v>
      </c>
      <c r="D14" s="11">
        <f t="shared" si="0"/>
        <v>12340</v>
      </c>
      <c r="E14" s="12">
        <v>0.31099944165270799</v>
      </c>
      <c r="F14" s="12">
        <v>0.68900055834729201</v>
      </c>
      <c r="G14" s="11">
        <f t="shared" si="1"/>
        <v>0.4513776337115073</v>
      </c>
      <c r="H14" s="11">
        <f t="shared" si="2"/>
        <v>2.215439856373429</v>
      </c>
      <c r="I14" s="11">
        <f t="shared" si="3"/>
        <v>1.4513776337115074</v>
      </c>
      <c r="J14" s="11">
        <f t="shared" si="4"/>
        <v>1.526439298026137</v>
      </c>
      <c r="K14" s="11">
        <f t="shared" si="5"/>
        <v>1</v>
      </c>
    </row>
    <row r="15" spans="1:24" ht="16.5" thickTop="1" thickBot="1" x14ac:dyDescent="0.3">
      <c r="A15" s="10" t="s">
        <v>52</v>
      </c>
      <c r="B15" s="11" t="s">
        <v>341</v>
      </c>
      <c r="C15" s="11" t="s">
        <v>342</v>
      </c>
      <c r="D15" s="11">
        <f t="shared" si="0"/>
        <v>13325</v>
      </c>
      <c r="E15" s="12">
        <v>0.21893317702227399</v>
      </c>
      <c r="F15" s="12">
        <v>0.78106682297772501</v>
      </c>
      <c r="G15" s="11">
        <f t="shared" si="1"/>
        <v>0.28030018761726078</v>
      </c>
      <c r="H15" s="11">
        <f t="shared" si="2"/>
        <v>3.5676037483266421</v>
      </c>
      <c r="I15" s="11">
        <f t="shared" si="3"/>
        <v>1.2803001876172626</v>
      </c>
      <c r="J15" s="11">
        <f t="shared" si="4"/>
        <v>2.7865369253489121</v>
      </c>
      <c r="K15" s="11">
        <f t="shared" si="5"/>
        <v>0.999999999999999</v>
      </c>
    </row>
    <row r="16" spans="1:24" ht="16.5" thickTop="1" thickBot="1" x14ac:dyDescent="0.3">
      <c r="A16" s="10" t="s">
        <v>62</v>
      </c>
      <c r="B16" s="11" t="s">
        <v>343</v>
      </c>
      <c r="C16" s="11" t="s">
        <v>344</v>
      </c>
      <c r="D16" s="11">
        <f t="shared" si="0"/>
        <v>9778</v>
      </c>
      <c r="E16" s="12">
        <v>0.37699904428161801</v>
      </c>
      <c r="F16" s="12">
        <v>0.62300095571838099</v>
      </c>
      <c r="G16" s="11">
        <f t="shared" si="1"/>
        <v>0.60513397422785842</v>
      </c>
      <c r="H16" s="11">
        <f t="shared" si="2"/>
        <v>1.6525266182186917</v>
      </c>
      <c r="I16" s="11">
        <f t="shared" si="3"/>
        <v>1.6051339742278599</v>
      </c>
      <c r="J16" s="11">
        <f t="shared" si="4"/>
        <v>1.0295256625003093</v>
      </c>
      <c r="K16" s="11">
        <f t="shared" si="5"/>
        <v>0.999999999999999</v>
      </c>
    </row>
    <row r="17" spans="1:20" ht="16.5" thickTop="1" thickBot="1" x14ac:dyDescent="0.3">
      <c r="A17" s="10" t="s">
        <v>77</v>
      </c>
      <c r="B17" s="11" t="s">
        <v>345</v>
      </c>
      <c r="C17" s="11" t="s">
        <v>346</v>
      </c>
      <c r="D17" s="11">
        <f t="shared" si="0"/>
        <v>14261</v>
      </c>
      <c r="E17" s="12">
        <v>0.51703061073593903</v>
      </c>
      <c r="F17" s="12">
        <v>0.48296938926406002</v>
      </c>
      <c r="G17" s="11">
        <f t="shared" si="1"/>
        <v>0.38188065353060796</v>
      </c>
      <c r="H17" s="11">
        <f t="shared" si="2"/>
        <v>0.93412146057774714</v>
      </c>
      <c r="I17" s="11">
        <f t="shared" si="3"/>
        <v>0.73860356737300481</v>
      </c>
      <c r="J17" s="11">
        <f t="shared" si="4"/>
        <v>1.2647129012660228</v>
      </c>
      <c r="K17" s="11">
        <f t="shared" si="5"/>
        <v>0.99999999999999911</v>
      </c>
    </row>
    <row r="18" spans="1:20" ht="16.5" thickTop="1" thickBot="1" x14ac:dyDescent="0.3">
      <c r="A18" s="10" t="s">
        <v>83</v>
      </c>
      <c r="B18" s="11" t="s">
        <v>347</v>
      </c>
      <c r="C18" s="11" t="s">
        <v>348</v>
      </c>
      <c r="D18" s="11">
        <f t="shared" si="0"/>
        <v>12552</v>
      </c>
      <c r="E18" s="12">
        <v>0.36297198538367798</v>
      </c>
      <c r="F18" s="12">
        <v>0.63702801461632097</v>
      </c>
      <c r="G18" s="11">
        <f t="shared" si="1"/>
        <v>0.5697896749521989</v>
      </c>
      <c r="H18" s="11">
        <f t="shared" si="2"/>
        <v>1.7550335570469804</v>
      </c>
      <c r="I18" s="11">
        <f t="shared" si="3"/>
        <v>1.5697896749522009</v>
      </c>
      <c r="J18" s="11">
        <f t="shared" si="4"/>
        <v>1.1180055424306572</v>
      </c>
      <c r="K18" s="11">
        <f t="shared" si="5"/>
        <v>0.99999999999999889</v>
      </c>
      <c r="O18" s="8" t="s">
        <v>108</v>
      </c>
      <c r="P18" s="8" t="s">
        <v>357</v>
      </c>
      <c r="Q18" s="8" t="s">
        <v>358</v>
      </c>
      <c r="R18" s="8" t="s">
        <v>359</v>
      </c>
      <c r="S18" s="8" t="s">
        <v>360</v>
      </c>
      <c r="T18" s="8" t="s">
        <v>361</v>
      </c>
    </row>
    <row r="19" spans="1:20" ht="16.5" thickTop="1" thickBot="1" x14ac:dyDescent="0.3">
      <c r="A19" s="10" t="s">
        <v>90</v>
      </c>
      <c r="B19" s="11" t="s">
        <v>349</v>
      </c>
      <c r="C19" s="11" t="s">
        <v>350</v>
      </c>
      <c r="D19" s="11">
        <f t="shared" si="0"/>
        <v>10957</v>
      </c>
      <c r="E19" s="12">
        <v>0.51082637617750704</v>
      </c>
      <c r="F19" s="12">
        <v>0.48917362382249202</v>
      </c>
      <c r="G19" s="11">
        <f t="shared" si="1"/>
        <v>1.0442639408597243</v>
      </c>
      <c r="H19" s="11">
        <f t="shared" si="2"/>
        <v>0.95761230554099086</v>
      </c>
      <c r="I19" s="11">
        <f t="shared" si="3"/>
        <v>2.0442639408597278</v>
      </c>
      <c r="J19" s="11">
        <f t="shared" si="4"/>
        <v>0.46843868171849723</v>
      </c>
      <c r="K19" s="11">
        <f t="shared" si="5"/>
        <v>0.99999999999999911</v>
      </c>
    </row>
    <row r="20" spans="1:20" ht="16.5" thickTop="1" thickBot="1" x14ac:dyDescent="0.3">
      <c r="A20" s="10" t="s">
        <v>94</v>
      </c>
      <c r="B20" s="11" t="s">
        <v>322</v>
      </c>
      <c r="C20" s="11" t="s">
        <v>297</v>
      </c>
      <c r="D20" s="11">
        <f t="shared" si="0"/>
        <v>15537</v>
      </c>
      <c r="E20" s="12">
        <v>0.19069694759870801</v>
      </c>
      <c r="F20" s="12">
        <v>0.80930305240129097</v>
      </c>
      <c r="G20" s="11">
        <f t="shared" si="1"/>
        <v>0.23563107420995044</v>
      </c>
      <c r="H20" s="11">
        <f t="shared" si="2"/>
        <v>4.2439224255667849</v>
      </c>
      <c r="I20" s="11">
        <f t="shared" si="3"/>
        <v>1.2356310742099517</v>
      </c>
      <c r="J20" s="11">
        <f t="shared" si="4"/>
        <v>3.4346193731654897</v>
      </c>
      <c r="K20" s="11">
        <f t="shared" si="5"/>
        <v>0.999999999999999</v>
      </c>
      <c r="N20" s="8" t="s">
        <v>367</v>
      </c>
      <c r="O20" s="11">
        <f>(O4+P5)/(O4+P4+P5+O5)</f>
        <v>0.78217821782178221</v>
      </c>
      <c r="P20" s="11">
        <f>P5/(P5+O5)</f>
        <v>0.77142857142857146</v>
      </c>
      <c r="Q20" s="11">
        <f>O4/(O4+P4)</f>
        <v>0.80645161290322576</v>
      </c>
      <c r="R20" s="11">
        <f>P5/(P5+P4)</f>
        <v>0.9</v>
      </c>
      <c r="S20" s="11">
        <f>O4/(O4+O5)</f>
        <v>0.6097560975609756</v>
      </c>
      <c r="T20" s="11">
        <f t="shared" ref="T20:T25" si="6">2*R20*P20/(R20+P20)</f>
        <v>0.8307692307692307</v>
      </c>
    </row>
    <row r="21" spans="1:20" ht="16.5" thickTop="1" thickBot="1" x14ac:dyDescent="0.3">
      <c r="A21" s="10" t="s">
        <v>95</v>
      </c>
      <c r="B21" s="11" t="s">
        <v>298</v>
      </c>
      <c r="C21" s="11" t="s">
        <v>299</v>
      </c>
      <c r="D21" s="11">
        <f t="shared" si="0"/>
        <v>16459</v>
      </c>
      <c r="E21" s="12">
        <v>0.17992027902341801</v>
      </c>
      <c r="F21" s="12">
        <v>0.82007972097658199</v>
      </c>
      <c r="G21" s="11">
        <f t="shared" si="1"/>
        <v>0.21939364481438728</v>
      </c>
      <c r="H21" s="11">
        <f t="shared" si="2"/>
        <v>4.5580171697590703</v>
      </c>
      <c r="I21" s="11">
        <f t="shared" si="3"/>
        <v>1.2193936448143876</v>
      </c>
      <c r="J21" s="11">
        <f t="shared" si="4"/>
        <v>3.7379374487824877</v>
      </c>
      <c r="K21" s="11">
        <f t="shared" si="5"/>
        <v>1</v>
      </c>
      <c r="N21" s="8" t="s">
        <v>368</v>
      </c>
      <c r="O21" s="11">
        <f>(S4+T5)/(S4+T4+T5+S5)</f>
        <v>0.78217821782178221</v>
      </c>
      <c r="P21" s="11">
        <f>T5/(T5+S5)</f>
        <v>0.77142857142857146</v>
      </c>
      <c r="Q21" s="11">
        <f>S4/(S4+T4)</f>
        <v>0.80645161290322576</v>
      </c>
      <c r="R21" s="11">
        <f>T5/(T5+T4)</f>
        <v>0.9</v>
      </c>
      <c r="S21" s="11">
        <f>S4/(S4+S5)</f>
        <v>0.6097560975609756</v>
      </c>
      <c r="T21" s="11">
        <f t="shared" si="6"/>
        <v>0.8307692307692307</v>
      </c>
    </row>
    <row r="22" spans="1:20" ht="16.5" thickTop="1" thickBot="1" x14ac:dyDescent="0.3">
      <c r="A22" s="10" t="s">
        <v>96</v>
      </c>
      <c r="B22" s="11" t="s">
        <v>300</v>
      </c>
      <c r="C22" s="11" t="s">
        <v>301</v>
      </c>
      <c r="D22" s="11">
        <f t="shared" si="0"/>
        <v>12531</v>
      </c>
      <c r="E22" s="12">
        <v>0.24206133188169099</v>
      </c>
      <c r="F22" s="12">
        <v>0.75793866811830801</v>
      </c>
      <c r="G22" s="11">
        <f t="shared" si="1"/>
        <v>0.31936796744074697</v>
      </c>
      <c r="H22" s="11">
        <f t="shared" si="2"/>
        <v>3.1311844077961006</v>
      </c>
      <c r="I22" s="11">
        <f t="shared" si="3"/>
        <v>1.3193679674407479</v>
      </c>
      <c r="J22" s="11">
        <f t="shared" si="4"/>
        <v>2.3732457396777904</v>
      </c>
      <c r="K22" s="11">
        <f t="shared" si="5"/>
        <v>0.999999999999999</v>
      </c>
      <c r="N22" s="8" t="s">
        <v>369</v>
      </c>
      <c r="O22" s="11">
        <f>(W4+X5)/(W4+X4+X5+W5)</f>
        <v>0.88118811881188119</v>
      </c>
      <c r="P22" s="11">
        <f>X5/(W5+X5)</f>
        <v>0.91428571428571426</v>
      </c>
      <c r="Q22" s="11">
        <f>W4/(W4+X4)</f>
        <v>0.80645161290322576</v>
      </c>
      <c r="R22" s="11">
        <f>X5/(X5+X4)</f>
        <v>0.91428571428571426</v>
      </c>
      <c r="S22" s="11">
        <f>W4/(W4+W5)</f>
        <v>0.80645161290322576</v>
      </c>
      <c r="T22" s="11">
        <f t="shared" si="6"/>
        <v>0.91428571428571426</v>
      </c>
    </row>
    <row r="23" spans="1:20" ht="16.5" thickTop="1" thickBot="1" x14ac:dyDescent="0.3">
      <c r="A23" s="10" t="s">
        <v>97</v>
      </c>
      <c r="B23" s="11" t="s">
        <v>302</v>
      </c>
      <c r="C23" s="11" t="s">
        <v>303</v>
      </c>
      <c r="D23" s="11">
        <f t="shared" si="0"/>
        <v>14811</v>
      </c>
      <c r="E23" s="12">
        <v>0.26114935648009502</v>
      </c>
      <c r="F23" s="12">
        <v>0.73885064351990404</v>
      </c>
      <c r="G23" s="11">
        <f t="shared" si="1"/>
        <v>0.35345351427992711</v>
      </c>
      <c r="H23" s="11">
        <f t="shared" si="2"/>
        <v>2.8292263610315262</v>
      </c>
      <c r="I23" s="11">
        <f t="shared" si="3"/>
        <v>1.3534535142799311</v>
      </c>
      <c r="J23" s="11">
        <f t="shared" si="4"/>
        <v>2.0903757175116136</v>
      </c>
      <c r="K23" s="11">
        <f t="shared" si="5"/>
        <v>0.99999999999999911</v>
      </c>
      <c r="N23" s="8" t="s">
        <v>370</v>
      </c>
      <c r="O23" s="11">
        <f>(O11+P12)/(O11+P11+P12+O12)</f>
        <v>0.87128712871287128</v>
      </c>
      <c r="P23" s="11">
        <f>P12/(P12+O12)</f>
        <v>0.91428571428571426</v>
      </c>
      <c r="Q23" s="11">
        <f>O11/(O11+P11)</f>
        <v>0.77419354838709675</v>
      </c>
      <c r="R23" s="11">
        <f>P12/(P12+P11)</f>
        <v>0.90140845070422537</v>
      </c>
      <c r="S23" s="11">
        <f>O11/(O11+O12)</f>
        <v>0.8</v>
      </c>
      <c r="T23" s="11">
        <f t="shared" si="6"/>
        <v>0.90780141843971629</v>
      </c>
    </row>
    <row r="24" spans="1:20" ht="16.5" thickTop="1" thickBot="1" x14ac:dyDescent="0.3">
      <c r="A24" s="10" t="s">
        <v>98</v>
      </c>
      <c r="B24" s="11" t="s">
        <v>304</v>
      </c>
      <c r="C24" s="11" t="s">
        <v>305</v>
      </c>
      <c r="D24" s="11">
        <f t="shared" si="0"/>
        <v>15957</v>
      </c>
      <c r="E24" s="12">
        <v>0.22595197671598299</v>
      </c>
      <c r="F24" s="12">
        <v>0.77404802328401601</v>
      </c>
      <c r="G24" s="11">
        <f t="shared" si="1"/>
        <v>0.29190950679952371</v>
      </c>
      <c r="H24" s="11">
        <f t="shared" si="2"/>
        <v>3.4257191927866093</v>
      </c>
      <c r="I24" s="11">
        <f t="shared" si="3"/>
        <v>1.2919095067995265</v>
      </c>
      <c r="J24" s="11">
        <f t="shared" si="4"/>
        <v>2.6516711695025856</v>
      </c>
      <c r="K24" s="11">
        <f t="shared" si="5"/>
        <v>0.999999999999999</v>
      </c>
      <c r="N24" s="8" t="s">
        <v>371</v>
      </c>
      <c r="O24" s="11">
        <f>(S11+T12)/(S11+T11+T12+S12)</f>
        <v>0.88118811881188119</v>
      </c>
      <c r="P24" s="11">
        <f>T12/(T12+S12)</f>
        <v>0.91428571428571426</v>
      </c>
      <c r="Q24" s="11">
        <f>S11/(S11+T11)</f>
        <v>0.80645161290322576</v>
      </c>
      <c r="R24" s="11">
        <f>T12/(T12+T11)</f>
        <v>0.91428571428571426</v>
      </c>
      <c r="S24" s="11">
        <f>S11/(S11+S12)</f>
        <v>0.80645161290322576</v>
      </c>
      <c r="T24" s="11">
        <f t="shared" si="6"/>
        <v>0.91428571428571426</v>
      </c>
    </row>
    <row r="25" spans="1:20" ht="16.5" thickTop="1" thickBot="1" x14ac:dyDescent="0.3">
      <c r="A25" s="10" t="s">
        <v>99</v>
      </c>
      <c r="B25" s="11" t="s">
        <v>306</v>
      </c>
      <c r="C25" s="11" t="s">
        <v>307</v>
      </c>
      <c r="D25" s="11">
        <f t="shared" si="0"/>
        <v>13525</v>
      </c>
      <c r="E25" s="12">
        <v>0.167384880571287</v>
      </c>
      <c r="F25" s="12">
        <v>0.83261511942871202</v>
      </c>
      <c r="G25" s="11">
        <f t="shared" si="1"/>
        <v>0.20103512014787431</v>
      </c>
      <c r="H25" s="11">
        <f t="shared" si="2"/>
        <v>4.9742552408974134</v>
      </c>
      <c r="I25" s="11">
        <f t="shared" si="3"/>
        <v>1.2010351201478804</v>
      </c>
      <c r="J25" s="11">
        <f t="shared" si="4"/>
        <v>4.1416401214686758</v>
      </c>
      <c r="K25" s="11">
        <f t="shared" si="5"/>
        <v>0.999999999999999</v>
      </c>
      <c r="N25" s="8" t="s">
        <v>353</v>
      </c>
      <c r="O25" s="11">
        <f>(W11+X12)/(W11+X11+X12+W12)</f>
        <v>0.83168316831683164</v>
      </c>
      <c r="P25" s="11">
        <f>X12/(W12+X12)</f>
        <v>0.82857142857142863</v>
      </c>
      <c r="Q25" s="11">
        <f>W11/(W11+X11)</f>
        <v>0.83870967741935487</v>
      </c>
      <c r="R25" s="11">
        <f>X12/(X12+X11)</f>
        <v>0.92063492063492058</v>
      </c>
      <c r="S25" s="11">
        <f>W11/(W11+W12)</f>
        <v>0.68421052631578949</v>
      </c>
      <c r="T25" s="11">
        <f t="shared" si="6"/>
        <v>0.87218045112781961</v>
      </c>
    </row>
    <row r="26" spans="1:20" ht="16.5" thickTop="1" thickBot="1" x14ac:dyDescent="0.3">
      <c r="A26" s="10" t="s">
        <v>100</v>
      </c>
      <c r="B26" s="11" t="s">
        <v>308</v>
      </c>
      <c r="C26" s="11" t="s">
        <v>309</v>
      </c>
      <c r="D26" s="11">
        <f t="shared" si="0"/>
        <v>13272</v>
      </c>
      <c r="E26" s="12">
        <v>0.209246901811248</v>
      </c>
      <c r="F26" s="12">
        <v>0.79075309818875095</v>
      </c>
      <c r="G26" s="11">
        <f t="shared" si="1"/>
        <v>0.26461723930078362</v>
      </c>
      <c r="H26" s="11">
        <f t="shared" si="2"/>
        <v>3.779043280182246</v>
      </c>
      <c r="I26" s="11">
        <f t="shared" si="3"/>
        <v>1.2646172393007886</v>
      </c>
      <c r="J26" s="11">
        <f t="shared" si="4"/>
        <v>2.98829018199348</v>
      </c>
      <c r="K26" s="11">
        <f t="shared" si="5"/>
        <v>0.99999999999999889</v>
      </c>
    </row>
    <row r="27" spans="1:20" ht="16.5" thickTop="1" thickBot="1" x14ac:dyDescent="0.3">
      <c r="A27" s="10" t="s">
        <v>101</v>
      </c>
      <c r="B27" s="11" t="s">
        <v>310</v>
      </c>
      <c r="C27" s="11" t="s">
        <v>311</v>
      </c>
      <c r="D27" s="11">
        <f t="shared" si="0"/>
        <v>14011</v>
      </c>
      <c r="E27" s="12">
        <v>0.16971851851851799</v>
      </c>
      <c r="F27" s="12">
        <v>0.83028148148148095</v>
      </c>
      <c r="G27" s="11">
        <f t="shared" si="1"/>
        <v>0.20441082006994504</v>
      </c>
      <c r="H27" s="11">
        <f t="shared" si="2"/>
        <v>4.8921089385474978</v>
      </c>
      <c r="I27" s="11">
        <f t="shared" si="3"/>
        <v>1.2044108200699488</v>
      </c>
      <c r="J27" s="11">
        <f t="shared" si="4"/>
        <v>4.061827457066002</v>
      </c>
      <c r="K27" s="11">
        <f t="shared" si="5"/>
        <v>0.99999999999999889</v>
      </c>
    </row>
    <row r="28" spans="1:20" ht="16.5" thickTop="1" thickBot="1" x14ac:dyDescent="0.3">
      <c r="A28" s="10" t="s">
        <v>102</v>
      </c>
      <c r="B28" s="11" t="s">
        <v>312</v>
      </c>
      <c r="C28" s="11" t="s">
        <v>313</v>
      </c>
      <c r="D28" s="11">
        <f t="shared" si="0"/>
        <v>17951</v>
      </c>
      <c r="E28" s="12">
        <v>0.27979939819458299</v>
      </c>
      <c r="F28" s="12">
        <v>0.72020060180541601</v>
      </c>
      <c r="G28" s="11">
        <f t="shared" si="1"/>
        <v>0.38850203331290734</v>
      </c>
      <c r="H28" s="11">
        <f t="shared" si="2"/>
        <v>2.5739891023802759</v>
      </c>
      <c r="I28" s="11">
        <f t="shared" si="3"/>
        <v>1.388502033312911</v>
      </c>
      <c r="J28" s="11">
        <f t="shared" si="4"/>
        <v>1.8537885005748529</v>
      </c>
      <c r="K28" s="11">
        <f t="shared" si="5"/>
        <v>0.999999999999999</v>
      </c>
    </row>
    <row r="29" spans="1:20" ht="16.5" thickTop="1" thickBot="1" x14ac:dyDescent="0.3">
      <c r="A29" s="10" t="s">
        <v>103</v>
      </c>
      <c r="B29" s="11" t="s">
        <v>314</v>
      </c>
      <c r="C29" s="11" t="s">
        <v>315</v>
      </c>
      <c r="D29" s="11">
        <f t="shared" si="0"/>
        <v>16564</v>
      </c>
      <c r="E29" s="12">
        <v>0.345606826801517</v>
      </c>
      <c r="F29" s="12">
        <v>0.654393173198482</v>
      </c>
      <c r="G29" s="11">
        <f t="shared" si="1"/>
        <v>0.52813330113499157</v>
      </c>
      <c r="H29" s="11">
        <f t="shared" si="2"/>
        <v>1.8934613625971628</v>
      </c>
      <c r="I29" s="11">
        <f t="shared" si="3"/>
        <v>1.528133301134992</v>
      </c>
      <c r="J29" s="11">
        <f t="shared" si="4"/>
        <v>1.2390681893986804</v>
      </c>
      <c r="K29" s="11">
        <f t="shared" si="5"/>
        <v>0.999999999999999</v>
      </c>
    </row>
    <row r="30" spans="1:20" ht="16.5" thickTop="1" thickBot="1" x14ac:dyDescent="0.3">
      <c r="A30" s="10" t="s">
        <v>104</v>
      </c>
      <c r="B30" s="11" t="s">
        <v>316</v>
      </c>
      <c r="C30" s="11" t="s">
        <v>317</v>
      </c>
      <c r="D30" s="11">
        <f t="shared" si="0"/>
        <v>16567</v>
      </c>
      <c r="E30" s="12">
        <v>0.32255162543447102</v>
      </c>
      <c r="F30" s="12">
        <v>0.67744837456552798</v>
      </c>
      <c r="G30" s="11">
        <f t="shared" si="1"/>
        <v>0.4761272409005855</v>
      </c>
      <c r="H30" s="11">
        <f t="shared" si="2"/>
        <v>2.1002789046653159</v>
      </c>
      <c r="I30" s="11">
        <f t="shared" si="3"/>
        <v>1.4761272409005877</v>
      </c>
      <c r="J30" s="11">
        <f t="shared" si="4"/>
        <v>1.4228305300997848</v>
      </c>
      <c r="K30" s="11">
        <f t="shared" si="5"/>
        <v>0.999999999999999</v>
      </c>
    </row>
    <row r="31" spans="1:20" ht="16.5" thickTop="1" thickBot="1" x14ac:dyDescent="0.3">
      <c r="A31" s="10" t="s">
        <v>105</v>
      </c>
      <c r="B31" s="11" t="s">
        <v>318</v>
      </c>
      <c r="C31" s="11" t="s">
        <v>319</v>
      </c>
      <c r="D31" s="11">
        <f t="shared" si="0"/>
        <v>14185</v>
      </c>
      <c r="E31" s="12">
        <v>0.112716582223056</v>
      </c>
      <c r="F31" s="12">
        <v>0.88728341777694297</v>
      </c>
      <c r="G31" s="11">
        <f t="shared" si="1"/>
        <v>0.12703560098695804</v>
      </c>
      <c r="H31" s="11">
        <f t="shared" si="2"/>
        <v>7.8718091009988997</v>
      </c>
      <c r="I31" s="11">
        <f t="shared" si="3"/>
        <v>1.1270356009869602</v>
      </c>
      <c r="J31" s="11">
        <f t="shared" si="4"/>
        <v>6.9845256832219409</v>
      </c>
      <c r="K31" s="11">
        <f t="shared" si="5"/>
        <v>0.999999999999999</v>
      </c>
    </row>
    <row r="32" spans="1:20" ht="16.5" thickTop="1" thickBot="1" x14ac:dyDescent="0.3">
      <c r="A32" s="10" t="s">
        <v>106</v>
      </c>
      <c r="B32" s="11" t="s">
        <v>320</v>
      </c>
      <c r="C32" s="11" t="s">
        <v>321</v>
      </c>
      <c r="D32" s="11">
        <f t="shared" si="0"/>
        <v>12978</v>
      </c>
      <c r="E32" s="12">
        <v>0.13961813842482099</v>
      </c>
      <c r="F32" s="12">
        <v>0.86038186157517904</v>
      </c>
      <c r="G32" s="11">
        <f t="shared" si="1"/>
        <v>0.16227461858529821</v>
      </c>
      <c r="H32" s="11">
        <f t="shared" si="2"/>
        <v>6.1623931623931636</v>
      </c>
      <c r="I32" s="11">
        <f t="shared" si="3"/>
        <v>1.1622746185852983</v>
      </c>
      <c r="J32" s="11">
        <f t="shared" si="4"/>
        <v>5.3020113008179832</v>
      </c>
      <c r="K32" s="11">
        <f t="shared" si="5"/>
        <v>1</v>
      </c>
    </row>
    <row r="33" spans="1:11" ht="15.75" thickTop="1" x14ac:dyDescent="0.25">
      <c r="E33" s="11">
        <v>0.49</v>
      </c>
      <c r="F33" s="11">
        <f>1-E33</f>
        <v>0.51</v>
      </c>
      <c r="G33" s="11">
        <v>0.68</v>
      </c>
      <c r="H33" s="11">
        <f>1/G33</f>
        <v>1.4705882352941175</v>
      </c>
      <c r="I33" s="11">
        <v>1.65</v>
      </c>
      <c r="J33" s="11">
        <v>0.65</v>
      </c>
      <c r="K33" s="11">
        <f t="shared" si="5"/>
        <v>1</v>
      </c>
    </row>
    <row r="34" spans="1:11" ht="15.75" thickBot="1" x14ac:dyDescent="0.3">
      <c r="K34" s="11">
        <f t="shared" si="5"/>
        <v>0</v>
      </c>
    </row>
    <row r="35" spans="1:11" ht="16.5" thickTop="1" thickBot="1" x14ac:dyDescent="0.3">
      <c r="A35" s="8" t="s">
        <v>138</v>
      </c>
      <c r="K35" s="11">
        <f t="shared" si="5"/>
        <v>0</v>
      </c>
    </row>
    <row r="36" spans="1:11" ht="16.5" thickTop="1" thickBot="1" x14ac:dyDescent="0.3">
      <c r="A36" s="10" t="s">
        <v>6</v>
      </c>
      <c r="B36" s="11" t="s">
        <v>156</v>
      </c>
      <c r="C36" s="11" t="s">
        <v>157</v>
      </c>
      <c r="D36" s="11">
        <f t="shared" si="0"/>
        <v>10991</v>
      </c>
      <c r="E36" s="12">
        <v>0.65429497059101005</v>
      </c>
      <c r="F36" s="12">
        <v>0.34570502940898901</v>
      </c>
      <c r="G36" s="11">
        <f t="shared" si="1"/>
        <v>1.8926394322627604</v>
      </c>
      <c r="H36" s="11">
        <f t="shared" si="2"/>
        <v>0.52836265743678479</v>
      </c>
      <c r="I36" s="11">
        <f t="shared" si="3"/>
        <v>2.8926394322627629</v>
      </c>
      <c r="J36" s="11">
        <f t="shared" si="4"/>
        <v>0.18265762802779531</v>
      </c>
      <c r="K36" s="11">
        <f t="shared" si="5"/>
        <v>0.99999999999999911</v>
      </c>
    </row>
    <row r="37" spans="1:11" ht="16.5" thickTop="1" thickBot="1" x14ac:dyDescent="0.3">
      <c r="A37" s="10" t="s">
        <v>7</v>
      </c>
      <c r="B37" s="11" t="s">
        <v>158</v>
      </c>
      <c r="C37" s="11" t="s">
        <v>159</v>
      </c>
      <c r="D37" s="11">
        <f t="shared" si="0"/>
        <v>7209</v>
      </c>
      <c r="E37" s="12">
        <v>0.52497364259356805</v>
      </c>
      <c r="F37" s="12">
        <v>0.47502635740643101</v>
      </c>
      <c r="G37" s="11">
        <f t="shared" si="1"/>
        <v>1.1051463448467194</v>
      </c>
      <c r="H37" s="11">
        <f t="shared" si="2"/>
        <v>0.90485753734153473</v>
      </c>
      <c r="I37" s="11">
        <f t="shared" si="3"/>
        <v>2.1051463448467223</v>
      </c>
      <c r="J37" s="11">
        <f t="shared" si="4"/>
        <v>0.42983117993510245</v>
      </c>
      <c r="K37" s="11">
        <f t="shared" si="5"/>
        <v>0.99999999999999911</v>
      </c>
    </row>
    <row r="38" spans="1:11" ht="16.5" thickTop="1" thickBot="1" x14ac:dyDescent="0.3">
      <c r="A38" s="10" t="s">
        <v>8</v>
      </c>
      <c r="B38" s="11" t="s">
        <v>160</v>
      </c>
      <c r="C38" s="11" t="s">
        <v>161</v>
      </c>
      <c r="D38" s="11">
        <f t="shared" si="0"/>
        <v>9408</v>
      </c>
      <c r="E38" s="12">
        <v>0.53460301756121598</v>
      </c>
      <c r="F38" s="12">
        <v>0.46539698243878302</v>
      </c>
      <c r="G38" s="11">
        <f t="shared" si="1"/>
        <v>1.1487032312925169</v>
      </c>
      <c r="H38" s="11">
        <f t="shared" si="2"/>
        <v>0.87054686777089063</v>
      </c>
      <c r="I38" s="11">
        <f t="shared" si="3"/>
        <v>2.1487032312925205</v>
      </c>
      <c r="J38" s="11">
        <f t="shared" si="4"/>
        <v>0.40514988533210611</v>
      </c>
      <c r="K38" s="11">
        <f t="shared" si="5"/>
        <v>0.999999999999999</v>
      </c>
    </row>
    <row r="39" spans="1:11" ht="16.5" thickTop="1" thickBot="1" x14ac:dyDescent="0.3">
      <c r="A39" s="10" t="s">
        <v>9</v>
      </c>
      <c r="B39" s="11" t="s">
        <v>162</v>
      </c>
      <c r="C39" s="11" t="s">
        <v>163</v>
      </c>
      <c r="D39" s="11">
        <f t="shared" si="0"/>
        <v>6156</v>
      </c>
      <c r="E39" s="12">
        <v>0.653261236904359</v>
      </c>
      <c r="F39" s="12">
        <v>0.34673876309564</v>
      </c>
      <c r="G39" s="11">
        <f t="shared" si="1"/>
        <v>1.8840155945419104</v>
      </c>
      <c r="H39" s="11">
        <f t="shared" si="2"/>
        <v>0.53078116916709761</v>
      </c>
      <c r="I39" s="11">
        <f t="shared" si="3"/>
        <v>2.8840155945419128</v>
      </c>
      <c r="J39" s="11">
        <f t="shared" si="4"/>
        <v>0.18404240607145714</v>
      </c>
      <c r="K39" s="11">
        <f t="shared" si="5"/>
        <v>0.999999999999999</v>
      </c>
    </row>
    <row r="40" spans="1:11" ht="16.5" thickTop="1" thickBot="1" x14ac:dyDescent="0.3">
      <c r="A40" s="10" t="s">
        <v>10</v>
      </c>
      <c r="B40" s="11" t="s">
        <v>164</v>
      </c>
      <c r="C40" s="11" t="s">
        <v>165</v>
      </c>
      <c r="D40" s="11">
        <f t="shared" si="0"/>
        <v>11713</v>
      </c>
      <c r="E40" s="12">
        <v>0.67829382844900898</v>
      </c>
      <c r="F40" s="12">
        <v>0.32170617155099002</v>
      </c>
      <c r="G40" s="11">
        <f t="shared" si="1"/>
        <v>2.1084265346196536</v>
      </c>
      <c r="H40" s="11">
        <f t="shared" si="2"/>
        <v>0.47428733398121198</v>
      </c>
      <c r="I40" s="11">
        <f t="shared" si="3"/>
        <v>3.1084265346196576</v>
      </c>
      <c r="J40" s="11">
        <f t="shared" si="4"/>
        <v>0.15258116243022132</v>
      </c>
      <c r="K40" s="11">
        <f t="shared" si="5"/>
        <v>0.999999999999999</v>
      </c>
    </row>
    <row r="41" spans="1:11" ht="16.5" thickTop="1" thickBot="1" x14ac:dyDescent="0.3">
      <c r="A41" s="10" t="s">
        <v>11</v>
      </c>
      <c r="B41" s="11" t="s">
        <v>166</v>
      </c>
      <c r="C41" s="11" t="s">
        <v>167</v>
      </c>
      <c r="D41" s="11">
        <f t="shared" si="0"/>
        <v>17085</v>
      </c>
      <c r="E41" s="12">
        <v>0.36371084875796</v>
      </c>
      <c r="F41" s="12">
        <v>0.636289151242039</v>
      </c>
      <c r="G41" s="11">
        <f t="shared" si="1"/>
        <v>0.57161252560725784</v>
      </c>
      <c r="H41" s="11">
        <f t="shared" si="2"/>
        <v>1.7494368216260514</v>
      </c>
      <c r="I41" s="11">
        <f t="shared" si="3"/>
        <v>1.5716125256072604</v>
      </c>
      <c r="J41" s="11">
        <f t="shared" si="4"/>
        <v>1.1131476703840095</v>
      </c>
      <c r="K41" s="11">
        <f t="shared" si="5"/>
        <v>0.999999999999999</v>
      </c>
    </row>
    <row r="42" spans="1:11" ht="16.5" thickTop="1" thickBot="1" x14ac:dyDescent="0.3">
      <c r="A42" s="10" t="s">
        <v>15</v>
      </c>
      <c r="B42" s="11" t="s">
        <v>168</v>
      </c>
      <c r="C42" s="11" t="s">
        <v>169</v>
      </c>
      <c r="D42" s="11">
        <f t="shared" si="0"/>
        <v>5781</v>
      </c>
      <c r="E42" s="12">
        <v>0.752175590517426</v>
      </c>
      <c r="F42" s="12">
        <v>0.247824409482573</v>
      </c>
      <c r="G42" s="11">
        <f t="shared" si="1"/>
        <v>3.035115032001384</v>
      </c>
      <c r="H42" s="11">
        <f t="shared" si="2"/>
        <v>0.32947680382993172</v>
      </c>
      <c r="I42" s="11">
        <f t="shared" si="3"/>
        <v>4.0351150320013849</v>
      </c>
      <c r="J42" s="11">
        <f t="shared" si="4"/>
        <v>8.1652394347358631E-2</v>
      </c>
      <c r="K42" s="11">
        <f t="shared" si="5"/>
        <v>0.999999999999999</v>
      </c>
    </row>
    <row r="43" spans="1:11" ht="16.5" thickTop="1" thickBot="1" x14ac:dyDescent="0.3">
      <c r="A43" s="10" t="s">
        <v>16</v>
      </c>
      <c r="B43" s="11" t="s">
        <v>170</v>
      </c>
      <c r="C43" s="11" t="s">
        <v>171</v>
      </c>
      <c r="D43" s="11">
        <f t="shared" si="0"/>
        <v>7012</v>
      </c>
      <c r="E43" s="12">
        <v>0.58064709048501795</v>
      </c>
      <c r="F43" s="12">
        <v>0.419352909514981</v>
      </c>
      <c r="G43" s="11">
        <f t="shared" si="1"/>
        <v>1.3846263548203079</v>
      </c>
      <c r="H43" s="11">
        <f t="shared" si="2"/>
        <v>0.72221650015449668</v>
      </c>
      <c r="I43" s="11">
        <f t="shared" si="3"/>
        <v>2.3846263548203117</v>
      </c>
      <c r="J43" s="11">
        <f t="shared" si="4"/>
        <v>0.30286359063951457</v>
      </c>
      <c r="K43" s="11">
        <f t="shared" si="5"/>
        <v>0.99999999999999889</v>
      </c>
    </row>
    <row r="44" spans="1:11" ht="16.5" thickTop="1" thickBot="1" x14ac:dyDescent="0.3">
      <c r="A44" s="10" t="s">
        <v>17</v>
      </c>
      <c r="B44" s="11" t="s">
        <v>172</v>
      </c>
      <c r="C44" s="11" t="s">
        <v>173</v>
      </c>
      <c r="D44" s="11">
        <f t="shared" si="0"/>
        <v>5068</v>
      </c>
      <c r="E44" s="12">
        <v>0.70558847449750195</v>
      </c>
      <c r="F44" s="12">
        <v>0.294411525502497</v>
      </c>
      <c r="G44" s="11">
        <f t="shared" si="1"/>
        <v>2.3966061562746646</v>
      </c>
      <c r="H44" s="11">
        <f t="shared" si="2"/>
        <v>0.41725671002799142</v>
      </c>
      <c r="I44" s="11">
        <f t="shared" si="3"/>
        <v>3.396606156274665</v>
      </c>
      <c r="J44" s="11">
        <f t="shared" si="4"/>
        <v>0.12284518452549438</v>
      </c>
      <c r="K44" s="11">
        <f t="shared" si="5"/>
        <v>0.99999999999999889</v>
      </c>
    </row>
    <row r="45" spans="1:11" ht="16.5" thickTop="1" thickBot="1" x14ac:dyDescent="0.3">
      <c r="A45" s="10" t="s">
        <v>19</v>
      </c>
      <c r="B45" s="11" t="s">
        <v>174</v>
      </c>
      <c r="C45" s="11" t="s">
        <v>175</v>
      </c>
      <c r="D45" s="11">
        <f t="shared" si="0"/>
        <v>6878</v>
      </c>
      <c r="E45" s="12">
        <v>0.68886275219397397</v>
      </c>
      <c r="F45" s="12">
        <v>0.31113724780602497</v>
      </c>
      <c r="G45" s="11">
        <f t="shared" si="1"/>
        <v>2.2140157022390228</v>
      </c>
      <c r="H45" s="11">
        <f t="shared" si="2"/>
        <v>0.45166798003677394</v>
      </c>
      <c r="I45" s="11">
        <f t="shared" si="3"/>
        <v>3.214015702239025</v>
      </c>
      <c r="J45" s="11">
        <f t="shared" si="4"/>
        <v>0.14053073223074861</v>
      </c>
      <c r="K45" s="11">
        <f t="shared" si="5"/>
        <v>0.99999999999999889</v>
      </c>
    </row>
    <row r="46" spans="1:11" ht="16.5" thickTop="1" thickBot="1" x14ac:dyDescent="0.3">
      <c r="A46" s="10" t="s">
        <v>20</v>
      </c>
      <c r="B46" s="11" t="s">
        <v>176</v>
      </c>
      <c r="C46" s="11" t="s">
        <v>177</v>
      </c>
      <c r="D46" s="11">
        <f t="shared" si="0"/>
        <v>6658</v>
      </c>
      <c r="E46" s="12">
        <v>0.65938507187803697</v>
      </c>
      <c r="F46" s="12">
        <v>0.34061492812196198</v>
      </c>
      <c r="G46" s="11">
        <f t="shared" si="1"/>
        <v>1.935866626614599</v>
      </c>
      <c r="H46" s="11">
        <f t="shared" si="2"/>
        <v>0.51656451237489309</v>
      </c>
      <c r="I46" s="11">
        <f t="shared" si="3"/>
        <v>2.9358666266146014</v>
      </c>
      <c r="J46" s="11">
        <f t="shared" si="4"/>
        <v>0.17594958425293064</v>
      </c>
      <c r="K46" s="11">
        <f t="shared" si="5"/>
        <v>0.99999999999999889</v>
      </c>
    </row>
    <row r="47" spans="1:11" ht="16.5" thickTop="1" thickBot="1" x14ac:dyDescent="0.3">
      <c r="A47" s="10" t="s">
        <v>21</v>
      </c>
      <c r="B47" s="11" t="s">
        <v>178</v>
      </c>
      <c r="C47" s="11" t="s">
        <v>179</v>
      </c>
      <c r="D47" s="11">
        <f t="shared" si="0"/>
        <v>6974</v>
      </c>
      <c r="E47" s="12">
        <v>0.57975293763181601</v>
      </c>
      <c r="F47" s="12">
        <v>0.42024706236818299</v>
      </c>
      <c r="G47" s="11">
        <f t="shared" si="1"/>
        <v>1.3795526240321192</v>
      </c>
      <c r="H47" s="11">
        <f t="shared" si="2"/>
        <v>0.72487267435817548</v>
      </c>
      <c r="I47" s="11">
        <f t="shared" si="3"/>
        <v>2.3795526240321223</v>
      </c>
      <c r="J47" s="11">
        <f t="shared" si="4"/>
        <v>0.3046256119899915</v>
      </c>
      <c r="K47" s="11">
        <f t="shared" si="5"/>
        <v>0.999999999999999</v>
      </c>
    </row>
    <row r="48" spans="1:11" ht="16.5" thickTop="1" thickBot="1" x14ac:dyDescent="0.3">
      <c r="A48" s="10" t="s">
        <v>24</v>
      </c>
      <c r="B48" s="11" t="s">
        <v>180</v>
      </c>
      <c r="C48" s="11" t="s">
        <v>181</v>
      </c>
      <c r="D48" s="11">
        <f t="shared" si="0"/>
        <v>9555</v>
      </c>
      <c r="E48" s="12">
        <v>0.67581597340028499</v>
      </c>
      <c r="F48" s="12">
        <v>0.32418402659971501</v>
      </c>
      <c r="G48" s="11">
        <f t="shared" si="1"/>
        <v>2.084667713239142</v>
      </c>
      <c r="H48" s="11">
        <f t="shared" si="2"/>
        <v>0.47969275566042474</v>
      </c>
      <c r="I48" s="11">
        <f t="shared" si="3"/>
        <v>3.084667713239142</v>
      </c>
      <c r="J48" s="11">
        <f t="shared" si="4"/>
        <v>0.1555087290607097</v>
      </c>
      <c r="K48" s="11">
        <f t="shared" si="5"/>
        <v>1</v>
      </c>
    </row>
    <row r="49" spans="1:11" ht="16.5" thickTop="1" thickBot="1" x14ac:dyDescent="0.3">
      <c r="A49" s="10" t="s">
        <v>25</v>
      </c>
      <c r="B49" s="11" t="s">
        <v>182</v>
      </c>
      <c r="C49" s="11" t="s">
        <v>183</v>
      </c>
      <c r="D49" s="11">
        <f t="shared" si="0"/>
        <v>8630</v>
      </c>
      <c r="E49" s="12">
        <v>0.63560359751720596</v>
      </c>
      <c r="F49" s="12">
        <v>0.36439640248279298</v>
      </c>
      <c r="G49" s="11">
        <f t="shared" si="1"/>
        <v>1.7442641946697566</v>
      </c>
      <c r="H49" s="11">
        <f t="shared" si="2"/>
        <v>0.57330764631634845</v>
      </c>
      <c r="I49" s="11">
        <f t="shared" si="3"/>
        <v>2.7442641946697583</v>
      </c>
      <c r="J49" s="11">
        <f t="shared" si="4"/>
        <v>0.208911243833555</v>
      </c>
      <c r="K49" s="11">
        <f t="shared" si="5"/>
        <v>0.99999999999999889</v>
      </c>
    </row>
    <row r="50" spans="1:11" ht="16.5" thickTop="1" thickBot="1" x14ac:dyDescent="0.3">
      <c r="A50" s="10" t="s">
        <v>26</v>
      </c>
      <c r="B50" s="11" t="s">
        <v>184</v>
      </c>
      <c r="C50" s="11" t="s">
        <v>185</v>
      </c>
      <c r="D50" s="11">
        <f t="shared" si="0"/>
        <v>7433</v>
      </c>
      <c r="E50" s="12">
        <v>0.64020523742678703</v>
      </c>
      <c r="F50" s="12">
        <v>0.35979476257321202</v>
      </c>
      <c r="G50" s="11">
        <f t="shared" si="1"/>
        <v>1.7793623032422978</v>
      </c>
      <c r="H50" s="11">
        <f t="shared" si="2"/>
        <v>0.56199909269620374</v>
      </c>
      <c r="I50" s="11">
        <f t="shared" si="3"/>
        <v>2.7793623032422992</v>
      </c>
      <c r="J50" s="11">
        <f t="shared" si="4"/>
        <v>0.20220433012299147</v>
      </c>
      <c r="K50" s="11">
        <f t="shared" si="5"/>
        <v>0.99999999999999911</v>
      </c>
    </row>
    <row r="51" spans="1:11" ht="16.5" thickTop="1" thickBot="1" x14ac:dyDescent="0.3">
      <c r="A51" s="10" t="s">
        <v>27</v>
      </c>
      <c r="B51" s="11" t="s">
        <v>186</v>
      </c>
      <c r="C51" s="11" t="s">
        <v>187</v>
      </c>
      <c r="D51" s="11">
        <f t="shared" si="0"/>
        <v>8819</v>
      </c>
      <c r="E51" s="12">
        <v>0.42382072389912401</v>
      </c>
      <c r="F51" s="12">
        <v>0.57617927610087505</v>
      </c>
      <c r="G51" s="11">
        <f t="shared" si="1"/>
        <v>0.73557092640888988</v>
      </c>
      <c r="H51" s="11">
        <f t="shared" si="2"/>
        <v>1.3594882071835985</v>
      </c>
      <c r="I51" s="11">
        <f t="shared" si="3"/>
        <v>1.7355709264088919</v>
      </c>
      <c r="J51" s="11">
        <f t="shared" si="4"/>
        <v>0.78330893108272193</v>
      </c>
      <c r="K51" s="11">
        <f t="shared" si="5"/>
        <v>0.99999999999999911</v>
      </c>
    </row>
    <row r="52" spans="1:11" ht="16.5" thickTop="1" thickBot="1" x14ac:dyDescent="0.3">
      <c r="A52" s="10" t="s">
        <v>28</v>
      </c>
      <c r="B52" s="11" t="s">
        <v>188</v>
      </c>
      <c r="C52" s="11" t="s">
        <v>189</v>
      </c>
      <c r="D52" s="11">
        <f t="shared" si="0"/>
        <v>6666</v>
      </c>
      <c r="E52" s="12">
        <v>0.55467967132072904</v>
      </c>
      <c r="F52" s="12">
        <v>0.44532032867927002</v>
      </c>
      <c r="G52" s="11">
        <f t="shared" si="1"/>
        <v>1.2455745574557455</v>
      </c>
      <c r="H52" s="11">
        <f t="shared" si="2"/>
        <v>0.8028423461399492</v>
      </c>
      <c r="I52" s="11">
        <f t="shared" si="3"/>
        <v>2.2455745574557473</v>
      </c>
      <c r="J52" s="11">
        <f t="shared" si="4"/>
        <v>0.35752201746067858</v>
      </c>
      <c r="K52" s="11">
        <f t="shared" si="5"/>
        <v>0.99999999999999911</v>
      </c>
    </row>
    <row r="53" spans="1:11" ht="16.5" thickTop="1" thickBot="1" x14ac:dyDescent="0.3">
      <c r="A53" s="10" t="s">
        <v>29</v>
      </c>
      <c r="B53" s="11" t="s">
        <v>190</v>
      </c>
      <c r="C53" s="11" t="s">
        <v>191</v>
      </c>
      <c r="D53" s="11">
        <f t="shared" si="0"/>
        <v>9751</v>
      </c>
      <c r="E53" s="12">
        <v>0.57709155570976201</v>
      </c>
      <c r="F53" s="12">
        <v>0.422908444290237</v>
      </c>
      <c r="G53" s="11">
        <f t="shared" si="1"/>
        <v>1.3645779920008205</v>
      </c>
      <c r="H53" s="11">
        <f t="shared" si="2"/>
        <v>0.73282729595671181</v>
      </c>
      <c r="I53" s="11">
        <f t="shared" si="3"/>
        <v>2.3645779920008239</v>
      </c>
      <c r="J53" s="11">
        <f t="shared" si="4"/>
        <v>0.30991885166647382</v>
      </c>
      <c r="K53" s="11">
        <f t="shared" si="5"/>
        <v>0.999999999999999</v>
      </c>
    </row>
    <row r="54" spans="1:11" ht="16.5" thickTop="1" thickBot="1" x14ac:dyDescent="0.3">
      <c r="A54" s="10" t="s">
        <v>30</v>
      </c>
      <c r="B54" s="11" t="s">
        <v>192</v>
      </c>
      <c r="C54" s="11" t="s">
        <v>193</v>
      </c>
      <c r="D54" s="11">
        <f t="shared" si="0"/>
        <v>8595</v>
      </c>
      <c r="E54" s="12">
        <v>0.52940210249671404</v>
      </c>
      <c r="F54" s="12">
        <v>0.47059789750328501</v>
      </c>
      <c r="G54" s="11">
        <f t="shared" si="1"/>
        <v>1.124956369982548</v>
      </c>
      <c r="H54" s="11">
        <f t="shared" si="2"/>
        <v>0.88892336332609478</v>
      </c>
      <c r="I54" s="11">
        <f t="shared" si="3"/>
        <v>2.1249563699825513</v>
      </c>
      <c r="J54" s="11">
        <f t="shared" si="4"/>
        <v>0.41832546582280844</v>
      </c>
      <c r="K54" s="11">
        <f t="shared" si="5"/>
        <v>0.99999999999999911</v>
      </c>
    </row>
    <row r="55" spans="1:11" ht="16.5" thickTop="1" thickBot="1" x14ac:dyDescent="0.3">
      <c r="A55" s="10" t="s">
        <v>31</v>
      </c>
      <c r="B55" s="11" t="s">
        <v>194</v>
      </c>
      <c r="C55" s="11" t="s">
        <v>195</v>
      </c>
      <c r="D55" s="11">
        <f t="shared" si="0"/>
        <v>4346</v>
      </c>
      <c r="E55" s="12">
        <v>0.74411210551106899</v>
      </c>
      <c r="F55" s="12">
        <v>0.25588789448893001</v>
      </c>
      <c r="G55" s="11">
        <f t="shared" si="1"/>
        <v>2.9079613437643812</v>
      </c>
      <c r="H55" s="11">
        <f t="shared" si="2"/>
        <v>0.34388352587434634</v>
      </c>
      <c r="I55" s="11">
        <f t="shared" si="3"/>
        <v>3.9079613437643825</v>
      </c>
      <c r="J55" s="11">
        <f t="shared" si="4"/>
        <v>8.799563138541619E-2</v>
      </c>
      <c r="K55" s="11">
        <f t="shared" si="5"/>
        <v>0.999999999999999</v>
      </c>
    </row>
    <row r="56" spans="1:11" ht="16.5" thickTop="1" thickBot="1" x14ac:dyDescent="0.3">
      <c r="A56" s="10" t="s">
        <v>32</v>
      </c>
      <c r="B56" s="11" t="s">
        <v>196</v>
      </c>
      <c r="C56" s="11" t="s">
        <v>197</v>
      </c>
      <c r="D56" s="11">
        <f t="shared" si="0"/>
        <v>9799</v>
      </c>
      <c r="E56" s="12">
        <v>0.45315028740443097</v>
      </c>
      <c r="F56" s="12">
        <v>0.54684971259556803</v>
      </c>
      <c r="G56" s="11">
        <f t="shared" si="1"/>
        <v>0.82865598530462292</v>
      </c>
      <c r="H56" s="11">
        <f t="shared" si="2"/>
        <v>1.2067733990147764</v>
      </c>
      <c r="I56" s="11">
        <f t="shared" si="3"/>
        <v>1.8286559853046231</v>
      </c>
      <c r="J56" s="11">
        <f t="shared" si="4"/>
        <v>0.65992368641920829</v>
      </c>
      <c r="K56" s="11">
        <f t="shared" si="5"/>
        <v>0.999999999999999</v>
      </c>
    </row>
    <row r="57" spans="1:11" ht="16.5" thickTop="1" thickBot="1" x14ac:dyDescent="0.3">
      <c r="A57" s="10" t="s">
        <v>33</v>
      </c>
      <c r="B57" s="11" t="s">
        <v>198</v>
      </c>
      <c r="C57" s="11" t="s">
        <v>199</v>
      </c>
      <c r="D57" s="11">
        <f t="shared" si="0"/>
        <v>5310</v>
      </c>
      <c r="E57" s="12">
        <v>0.71046892039258402</v>
      </c>
      <c r="F57" s="12">
        <v>0.28953107960741498</v>
      </c>
      <c r="G57" s="11">
        <f t="shared" si="1"/>
        <v>2.4538606403013183</v>
      </c>
      <c r="H57" s="11">
        <f t="shared" si="2"/>
        <v>0.40752110514197959</v>
      </c>
      <c r="I57" s="11">
        <f t="shared" si="3"/>
        <v>3.4538606403013206</v>
      </c>
      <c r="J57" s="11">
        <f t="shared" si="4"/>
        <v>0.11799002553456435</v>
      </c>
      <c r="K57" s="11">
        <f t="shared" si="5"/>
        <v>0.999999999999999</v>
      </c>
    </row>
    <row r="58" spans="1:11" ht="16.5" thickTop="1" thickBot="1" x14ac:dyDescent="0.3">
      <c r="A58" s="10" t="s">
        <v>34</v>
      </c>
      <c r="B58" s="11" t="s">
        <v>200</v>
      </c>
      <c r="C58" s="11" t="s">
        <v>201</v>
      </c>
      <c r="D58" s="11">
        <f t="shared" si="0"/>
        <v>8178</v>
      </c>
      <c r="E58" s="12">
        <v>0.60633484162895901</v>
      </c>
      <c r="F58" s="12">
        <v>0.39366515837103999</v>
      </c>
      <c r="G58" s="11">
        <f t="shared" si="1"/>
        <v>1.5402298850574712</v>
      </c>
      <c r="H58" s="11">
        <f t="shared" si="2"/>
        <v>0.64925373134328268</v>
      </c>
      <c r="I58" s="11">
        <f t="shared" si="3"/>
        <v>2.5402298850574723</v>
      </c>
      <c r="J58" s="11">
        <f t="shared" si="4"/>
        <v>0.25558857297224241</v>
      </c>
      <c r="K58" s="11">
        <f t="shared" si="5"/>
        <v>0.999999999999999</v>
      </c>
    </row>
    <row r="59" spans="1:11" ht="16.5" thickTop="1" thickBot="1" x14ac:dyDescent="0.3">
      <c r="A59" s="10" t="s">
        <v>35</v>
      </c>
      <c r="B59" s="11" t="s">
        <v>202</v>
      </c>
      <c r="C59" s="11" t="s">
        <v>203</v>
      </c>
      <c r="D59" s="11">
        <f t="shared" si="0"/>
        <v>8667</v>
      </c>
      <c r="E59" s="12">
        <v>0.58495354851067904</v>
      </c>
      <c r="F59" s="12">
        <v>0.41504645148932001</v>
      </c>
      <c r="G59" s="11">
        <f t="shared" si="1"/>
        <v>1.4093688704280605</v>
      </c>
      <c r="H59" s="11">
        <f t="shared" si="2"/>
        <v>0.70953745395005985</v>
      </c>
      <c r="I59" s="11">
        <f t="shared" si="3"/>
        <v>2.4093688704280605</v>
      </c>
      <c r="J59" s="11">
        <f t="shared" si="4"/>
        <v>0.29449100246073978</v>
      </c>
      <c r="K59" s="11">
        <f t="shared" si="5"/>
        <v>0.99999999999999911</v>
      </c>
    </row>
    <row r="60" spans="1:11" ht="16.5" thickTop="1" thickBot="1" x14ac:dyDescent="0.3">
      <c r="A60" s="10" t="s">
        <v>36</v>
      </c>
      <c r="B60" s="11" t="s">
        <v>204</v>
      </c>
      <c r="C60" s="11" t="s">
        <v>205</v>
      </c>
      <c r="D60" s="11">
        <f t="shared" si="0"/>
        <v>10849</v>
      </c>
      <c r="E60" s="12">
        <v>0.37147326342622</v>
      </c>
      <c r="F60" s="12">
        <v>0.628526736573779</v>
      </c>
      <c r="G60" s="11">
        <f t="shared" si="1"/>
        <v>0.59102221402894273</v>
      </c>
      <c r="H60" s="11">
        <f t="shared" si="2"/>
        <v>1.6919837804117324</v>
      </c>
      <c r="I60" s="11">
        <f t="shared" si="3"/>
        <v>1.5910222140289467</v>
      </c>
      <c r="J60" s="11">
        <f t="shared" si="4"/>
        <v>1.0634570438379489</v>
      </c>
      <c r="K60" s="11">
        <f t="shared" si="5"/>
        <v>0.999999999999999</v>
      </c>
    </row>
    <row r="61" spans="1:11" ht="16.5" thickTop="1" thickBot="1" x14ac:dyDescent="0.3">
      <c r="A61" s="10" t="s">
        <v>37</v>
      </c>
      <c r="B61" s="11" t="s">
        <v>206</v>
      </c>
      <c r="C61" s="11" t="s">
        <v>207</v>
      </c>
      <c r="D61" s="11">
        <f t="shared" si="0"/>
        <v>14844</v>
      </c>
      <c r="E61" s="12">
        <v>0.52355886506611804</v>
      </c>
      <c r="F61" s="12">
        <v>0.47644113493388102</v>
      </c>
      <c r="G61" s="11">
        <f t="shared" si="1"/>
        <v>1.0988951765022905</v>
      </c>
      <c r="H61" s="11">
        <f t="shared" si="2"/>
        <v>0.91000490436488601</v>
      </c>
      <c r="I61" s="11">
        <f t="shared" si="3"/>
        <v>2.0988951765022938</v>
      </c>
      <c r="J61" s="11">
        <f t="shared" si="4"/>
        <v>0.43356376943100355</v>
      </c>
      <c r="K61" s="11">
        <f t="shared" si="5"/>
        <v>0.99999999999999911</v>
      </c>
    </row>
    <row r="62" spans="1:11" ht="16.5" thickTop="1" thickBot="1" x14ac:dyDescent="0.3">
      <c r="A62" s="10" t="s">
        <v>39</v>
      </c>
      <c r="B62" s="11" t="s">
        <v>210</v>
      </c>
      <c r="C62" s="11" t="s">
        <v>211</v>
      </c>
      <c r="D62" s="11">
        <f t="shared" si="0"/>
        <v>11939</v>
      </c>
      <c r="E62" s="12">
        <v>0.46977838966114399</v>
      </c>
      <c r="F62" s="12">
        <v>0.53022161033885495</v>
      </c>
      <c r="G62" s="11">
        <f t="shared" si="1"/>
        <v>0.88600385291900496</v>
      </c>
      <c r="H62" s="11">
        <f t="shared" si="2"/>
        <v>1.1286632633768217</v>
      </c>
      <c r="I62" s="11">
        <f t="shared" si="3"/>
        <v>1.8860038529190086</v>
      </c>
      <c r="J62" s="11">
        <f t="shared" si="4"/>
        <v>0.59844165303796459</v>
      </c>
      <c r="K62" s="11">
        <f t="shared" si="5"/>
        <v>0.99999999999999889</v>
      </c>
    </row>
    <row r="63" spans="1:11" ht="16.5" thickTop="1" thickBot="1" x14ac:dyDescent="0.3">
      <c r="A63" s="10" t="s">
        <v>43</v>
      </c>
      <c r="B63" s="11" t="s">
        <v>212</v>
      </c>
      <c r="C63" s="11" t="s">
        <v>213</v>
      </c>
      <c r="D63" s="11">
        <f t="shared" si="0"/>
        <v>10061</v>
      </c>
      <c r="E63" s="12">
        <v>0.42247861776017398</v>
      </c>
      <c r="F63" s="12">
        <v>0.57752138223982497</v>
      </c>
      <c r="G63" s="11">
        <f t="shared" si="1"/>
        <v>0.73153762051485938</v>
      </c>
      <c r="H63" s="11">
        <f t="shared" si="2"/>
        <v>1.3669836956521744</v>
      </c>
      <c r="I63" s="11">
        <f t="shared" si="3"/>
        <v>1.7315376205148616</v>
      </c>
      <c r="J63" s="11">
        <f t="shared" si="4"/>
        <v>0.78946231341234763</v>
      </c>
      <c r="K63" s="11">
        <f t="shared" si="5"/>
        <v>0.99999999999999889</v>
      </c>
    </row>
    <row r="64" spans="1:11" ht="16.5" thickTop="1" thickBot="1" x14ac:dyDescent="0.3">
      <c r="A64" s="10" t="s">
        <v>44</v>
      </c>
      <c r="B64" s="11" t="s">
        <v>214</v>
      </c>
      <c r="C64" s="11" t="s">
        <v>215</v>
      </c>
      <c r="D64" s="11">
        <f t="shared" si="0"/>
        <v>9160</v>
      </c>
      <c r="E64" s="12">
        <v>0.59123566424204499</v>
      </c>
      <c r="F64" s="12">
        <v>0.40876433575795401</v>
      </c>
      <c r="G64" s="11">
        <f t="shared" si="1"/>
        <v>1.4463973799126637</v>
      </c>
      <c r="H64" s="11">
        <f t="shared" si="2"/>
        <v>0.69137293380632503</v>
      </c>
      <c r="I64" s="11">
        <f t="shared" si="3"/>
        <v>2.4463973799126664</v>
      </c>
      <c r="J64" s="11">
        <f t="shared" si="4"/>
        <v>0.28260859804837035</v>
      </c>
      <c r="K64" s="11">
        <f t="shared" si="5"/>
        <v>0.999999999999999</v>
      </c>
    </row>
    <row r="65" spans="1:11" ht="16.5" thickTop="1" thickBot="1" x14ac:dyDescent="0.3">
      <c r="A65" s="10" t="s">
        <v>45</v>
      </c>
      <c r="B65" s="11" t="s">
        <v>216</v>
      </c>
      <c r="C65" s="11" t="s">
        <v>217</v>
      </c>
      <c r="D65" s="11">
        <f>C:C-B:B</f>
        <v>7804</v>
      </c>
      <c r="E65" s="12">
        <v>0.63537821800682104</v>
      </c>
      <c r="F65" s="12">
        <v>0.36462178199317802</v>
      </c>
      <c r="G65" s="11">
        <f t="shared" si="1"/>
        <v>1.7425679138903127</v>
      </c>
      <c r="H65" s="11">
        <f t="shared" si="2"/>
        <v>0.57386572542098646</v>
      </c>
      <c r="I65" s="11">
        <f t="shared" si="3"/>
        <v>2.7425679138903147</v>
      </c>
      <c r="J65" s="11">
        <f t="shared" si="4"/>
        <v>0.209243943427808</v>
      </c>
      <c r="K65" s="11">
        <f t="shared" si="5"/>
        <v>0.99999999999999911</v>
      </c>
    </row>
    <row r="66" spans="1:11" ht="16.5" thickTop="1" thickBot="1" x14ac:dyDescent="0.3">
      <c r="A66" s="10" t="s">
        <v>48</v>
      </c>
      <c r="B66" s="11" t="s">
        <v>218</v>
      </c>
      <c r="C66" s="11" t="s">
        <v>219</v>
      </c>
      <c r="D66" s="11">
        <f t="shared" si="0"/>
        <v>8233</v>
      </c>
      <c r="E66" s="12">
        <v>0.55762720971468405</v>
      </c>
      <c r="F66" s="12">
        <v>0.44237279028531501</v>
      </c>
      <c r="G66" s="11">
        <f t="shared" si="1"/>
        <v>1.2605368638406413</v>
      </c>
      <c r="H66" s="11">
        <f t="shared" si="2"/>
        <v>0.79331277702833014</v>
      </c>
      <c r="I66" s="11">
        <f t="shared" si="3"/>
        <v>2.2605368638406445</v>
      </c>
      <c r="J66" s="11">
        <f t="shared" si="4"/>
        <v>0.35093998674301391</v>
      </c>
      <c r="K66" s="11">
        <f t="shared" si="5"/>
        <v>0.99999999999999911</v>
      </c>
    </row>
    <row r="67" spans="1:11" ht="16.5" thickTop="1" thickBot="1" x14ac:dyDescent="0.3">
      <c r="A67" s="10" t="s">
        <v>49</v>
      </c>
      <c r="B67" s="11" t="s">
        <v>220</v>
      </c>
      <c r="C67" s="11" t="s">
        <v>221</v>
      </c>
      <c r="D67" s="11">
        <f t="shared" ref="D67:D104" si="7">C:C-B:B</f>
        <v>8508</v>
      </c>
      <c r="E67" s="12">
        <v>0.55839302398006796</v>
      </c>
      <c r="F67" s="12">
        <v>0.44160697601993099</v>
      </c>
      <c r="G67" s="11">
        <f t="shared" ref="G67:G105" si="8">B:B/D:D</f>
        <v>1.2644569816643159</v>
      </c>
      <c r="H67" s="11">
        <f t="shared" ref="H67:H105" si="9">F:F/E:E</f>
        <v>0.7908533184606803</v>
      </c>
      <c r="I67" s="11">
        <f t="shared" ref="I67:I105" si="10">G:G/E:E</f>
        <v>2.2644569816643179</v>
      </c>
      <c r="J67" s="11">
        <f t="shared" ref="J67:J105" si="11">F:F/G:G</f>
        <v>0.34924634244074859</v>
      </c>
      <c r="K67" s="11">
        <f t="shared" ref="K67:K105" si="12">E:E+F:F</f>
        <v>0.99999999999999889</v>
      </c>
    </row>
    <row r="68" spans="1:11" ht="16.5" thickTop="1" thickBot="1" x14ac:dyDescent="0.3">
      <c r="A68" s="10" t="s">
        <v>50</v>
      </c>
      <c r="B68" s="11" t="s">
        <v>222</v>
      </c>
      <c r="C68" s="11" t="s">
        <v>223</v>
      </c>
      <c r="D68" s="11">
        <f t="shared" si="7"/>
        <v>11227</v>
      </c>
      <c r="E68" s="12">
        <v>0.32748292799808298</v>
      </c>
      <c r="F68" s="12">
        <v>0.67251707200191602</v>
      </c>
      <c r="G68" s="11">
        <f t="shared" si="8"/>
        <v>0.48695110002672132</v>
      </c>
      <c r="H68" s="11">
        <f t="shared" si="9"/>
        <v>2.053594293030911</v>
      </c>
      <c r="I68" s="11">
        <f t="shared" si="10"/>
        <v>1.4869511000267222</v>
      </c>
      <c r="J68" s="11">
        <f t="shared" si="11"/>
        <v>1.3810772210289941</v>
      </c>
      <c r="K68" s="11">
        <f t="shared" si="12"/>
        <v>0.999999999999999</v>
      </c>
    </row>
    <row r="69" spans="1:11" ht="16.5" thickTop="1" thickBot="1" x14ac:dyDescent="0.3">
      <c r="A69" s="10" t="s">
        <v>53</v>
      </c>
      <c r="B69" s="11" t="s">
        <v>224</v>
      </c>
      <c r="C69" s="11" t="s">
        <v>225</v>
      </c>
      <c r="D69" s="11">
        <f t="shared" si="7"/>
        <v>15271</v>
      </c>
      <c r="E69" s="12">
        <v>0.44594006240475997</v>
      </c>
      <c r="F69" s="12">
        <v>0.55405993759523897</v>
      </c>
      <c r="G69" s="11">
        <f t="shared" si="8"/>
        <v>0.80485888284984608</v>
      </c>
      <c r="H69" s="11">
        <f t="shared" si="9"/>
        <v>1.2424538280042294</v>
      </c>
      <c r="I69" s="11">
        <f t="shared" si="10"/>
        <v>1.8048588828498469</v>
      </c>
      <c r="J69" s="11">
        <f t="shared" si="11"/>
        <v>0.68839389040898991</v>
      </c>
      <c r="K69" s="11">
        <f t="shared" si="12"/>
        <v>0.99999999999999889</v>
      </c>
    </row>
    <row r="70" spans="1:11" ht="16.5" thickTop="1" thickBot="1" x14ac:dyDescent="0.3">
      <c r="A70" s="10" t="s">
        <v>54</v>
      </c>
      <c r="B70" s="11" t="s">
        <v>226</v>
      </c>
      <c r="C70" s="11" t="s">
        <v>227</v>
      </c>
      <c r="D70" s="11">
        <f t="shared" si="7"/>
        <v>10457</v>
      </c>
      <c r="E70" s="12">
        <v>0.54334250403947704</v>
      </c>
      <c r="F70" s="12">
        <v>0.45665749596052202</v>
      </c>
      <c r="G70" s="11">
        <f t="shared" si="8"/>
        <v>1.189824997609257</v>
      </c>
      <c r="H70" s="11">
        <f t="shared" si="9"/>
        <v>0.84045973316187161</v>
      </c>
      <c r="I70" s="11">
        <f t="shared" si="10"/>
        <v>2.1898249976092599</v>
      </c>
      <c r="J70" s="11">
        <f t="shared" si="11"/>
        <v>0.38380223720134854</v>
      </c>
      <c r="K70" s="11">
        <f t="shared" si="12"/>
        <v>0.99999999999999911</v>
      </c>
    </row>
    <row r="71" spans="1:11" ht="16.5" thickTop="1" thickBot="1" x14ac:dyDescent="0.3">
      <c r="A71" s="10" t="s">
        <v>55</v>
      </c>
      <c r="B71" s="11" t="s">
        <v>228</v>
      </c>
      <c r="C71" s="11" t="s">
        <v>229</v>
      </c>
      <c r="D71" s="11">
        <f t="shared" si="7"/>
        <v>7497</v>
      </c>
      <c r="E71" s="12">
        <v>0.55541718555417097</v>
      </c>
      <c r="F71" s="12">
        <v>0.44458281444582798</v>
      </c>
      <c r="G71" s="11">
        <f t="shared" si="8"/>
        <v>1.2492997198879552</v>
      </c>
      <c r="H71" s="11">
        <f t="shared" si="9"/>
        <v>0.80044843049327452</v>
      </c>
      <c r="I71" s="11">
        <f t="shared" si="10"/>
        <v>2.2492997198879587</v>
      </c>
      <c r="J71" s="11">
        <f t="shared" si="11"/>
        <v>0.35586561604744527</v>
      </c>
      <c r="K71" s="11">
        <f t="shared" si="12"/>
        <v>0.99999999999999889</v>
      </c>
    </row>
    <row r="72" spans="1:11" ht="16.5" thickTop="1" thickBot="1" x14ac:dyDescent="0.3">
      <c r="A72" s="10" t="s">
        <v>56</v>
      </c>
      <c r="B72" s="11" t="s">
        <v>230</v>
      </c>
      <c r="C72" s="11" t="s">
        <v>231</v>
      </c>
      <c r="D72" s="11">
        <f t="shared" si="7"/>
        <v>7720</v>
      </c>
      <c r="E72" s="12">
        <v>0.52820387459512297</v>
      </c>
      <c r="F72" s="12">
        <v>0.47179612540487598</v>
      </c>
      <c r="G72" s="11">
        <f t="shared" si="8"/>
        <v>1.119559585492228</v>
      </c>
      <c r="H72" s="11">
        <f t="shared" si="9"/>
        <v>0.89320837672104458</v>
      </c>
      <c r="I72" s="11">
        <f t="shared" si="10"/>
        <v>2.1195595854922287</v>
      </c>
      <c r="J72" s="11">
        <f t="shared" si="11"/>
        <v>0.42141225131616827</v>
      </c>
      <c r="K72" s="11">
        <f t="shared" si="12"/>
        <v>0.99999999999999889</v>
      </c>
    </row>
    <row r="73" spans="1:11" ht="16.5" thickTop="1" thickBot="1" x14ac:dyDescent="0.3">
      <c r="A73" s="10" t="s">
        <v>57</v>
      </c>
      <c r="B73" s="11" t="s">
        <v>232</v>
      </c>
      <c r="C73" s="11" t="s">
        <v>233</v>
      </c>
      <c r="D73" s="11">
        <f t="shared" si="7"/>
        <v>12830</v>
      </c>
      <c r="E73" s="12">
        <v>0.47873075204160398</v>
      </c>
      <c r="F73" s="12">
        <v>0.52126924795839602</v>
      </c>
      <c r="G73" s="11">
        <f t="shared" si="8"/>
        <v>0.91839438815276697</v>
      </c>
      <c r="H73" s="11">
        <f t="shared" si="9"/>
        <v>1.0888568276330308</v>
      </c>
      <c r="I73" s="11">
        <f t="shared" si="10"/>
        <v>1.9183943881527672</v>
      </c>
      <c r="J73" s="11">
        <f t="shared" si="11"/>
        <v>0.56758757967463469</v>
      </c>
      <c r="K73" s="11">
        <f t="shared" si="12"/>
        <v>1</v>
      </c>
    </row>
    <row r="74" spans="1:11" ht="16.5" thickTop="1" thickBot="1" x14ac:dyDescent="0.3">
      <c r="A74" s="10" t="s">
        <v>58</v>
      </c>
      <c r="B74" s="11" t="s">
        <v>234</v>
      </c>
      <c r="C74" s="11" t="s">
        <v>235</v>
      </c>
      <c r="D74" s="11">
        <f t="shared" si="7"/>
        <v>9565</v>
      </c>
      <c r="E74" s="12">
        <v>0.58801740104233902</v>
      </c>
      <c r="F74" s="12">
        <v>0.41198259895765998</v>
      </c>
      <c r="G74" s="11">
        <f t="shared" si="8"/>
        <v>1.4272869837950863</v>
      </c>
      <c r="H74" s="11">
        <f t="shared" si="9"/>
        <v>0.70062994433050119</v>
      </c>
      <c r="I74" s="11">
        <f t="shared" si="10"/>
        <v>2.427286983795089</v>
      </c>
      <c r="J74" s="11">
        <f t="shared" si="11"/>
        <v>0.28864734537284042</v>
      </c>
      <c r="K74" s="11">
        <f t="shared" si="12"/>
        <v>0.999999999999999</v>
      </c>
    </row>
    <row r="75" spans="1:11" ht="16.5" thickTop="1" thickBot="1" x14ac:dyDescent="0.3">
      <c r="A75" s="10" t="s">
        <v>59</v>
      </c>
      <c r="B75" s="11" t="s">
        <v>236</v>
      </c>
      <c r="C75" s="11" t="s">
        <v>237</v>
      </c>
      <c r="D75" s="11">
        <f t="shared" si="7"/>
        <v>6557</v>
      </c>
      <c r="E75" s="12">
        <v>0.53898614919496501</v>
      </c>
      <c r="F75" s="12">
        <v>0.46101385080503399</v>
      </c>
      <c r="G75" s="11">
        <f t="shared" si="8"/>
        <v>1.1691322251029435</v>
      </c>
      <c r="H75" s="11">
        <f t="shared" si="9"/>
        <v>0.85533524654317883</v>
      </c>
      <c r="I75" s="11">
        <f t="shared" si="10"/>
        <v>2.1691322251029472</v>
      </c>
      <c r="J75" s="11">
        <f t="shared" si="11"/>
        <v>0.39432139573814345</v>
      </c>
      <c r="K75" s="11">
        <f t="shared" si="12"/>
        <v>0.999999999999999</v>
      </c>
    </row>
    <row r="76" spans="1:11" ht="16.5" thickTop="1" thickBot="1" x14ac:dyDescent="0.3">
      <c r="A76" s="10" t="s">
        <v>60</v>
      </c>
      <c r="B76" s="11" t="s">
        <v>238</v>
      </c>
      <c r="C76" s="11" t="s">
        <v>239</v>
      </c>
      <c r="D76" s="11">
        <f t="shared" si="7"/>
        <v>4886</v>
      </c>
      <c r="E76" s="12">
        <v>0.64128918581601901</v>
      </c>
      <c r="F76" s="12">
        <v>0.35871081418397999</v>
      </c>
      <c r="G76" s="11">
        <f t="shared" si="8"/>
        <v>1.7877609496520672</v>
      </c>
      <c r="H76" s="11">
        <f t="shared" si="9"/>
        <v>0.55935890097309604</v>
      </c>
      <c r="I76" s="11">
        <f t="shared" si="10"/>
        <v>2.787760949652069</v>
      </c>
      <c r="J76" s="11">
        <f t="shared" si="11"/>
        <v>0.20064808678911575</v>
      </c>
      <c r="K76" s="11">
        <f t="shared" si="12"/>
        <v>0.999999999999999</v>
      </c>
    </row>
    <row r="77" spans="1:11" ht="16.5" thickTop="1" thickBot="1" x14ac:dyDescent="0.3">
      <c r="A77" s="10" t="s">
        <v>61</v>
      </c>
      <c r="B77" s="11" t="s">
        <v>240</v>
      </c>
      <c r="C77" s="11" t="s">
        <v>241</v>
      </c>
      <c r="D77" s="11">
        <f t="shared" si="7"/>
        <v>14086</v>
      </c>
      <c r="E77" s="12">
        <v>0.232412402593864</v>
      </c>
      <c r="F77" s="12">
        <v>0.76758759740613502</v>
      </c>
      <c r="G77" s="11">
        <f t="shared" si="8"/>
        <v>0.30278290501206873</v>
      </c>
      <c r="H77" s="11">
        <f t="shared" si="9"/>
        <v>3.3026963657678756</v>
      </c>
      <c r="I77" s="11">
        <f t="shared" si="10"/>
        <v>1.3027829050120692</v>
      </c>
      <c r="J77" s="11">
        <f t="shared" si="11"/>
        <v>2.5351087683617393</v>
      </c>
      <c r="K77" s="11">
        <f t="shared" si="12"/>
        <v>0.999999999999999</v>
      </c>
    </row>
    <row r="78" spans="1:11" ht="16.5" thickTop="1" thickBot="1" x14ac:dyDescent="0.3">
      <c r="A78" s="10" t="s">
        <v>63</v>
      </c>
      <c r="B78" s="11" t="s">
        <v>242</v>
      </c>
      <c r="C78" s="11" t="s">
        <v>243</v>
      </c>
      <c r="D78" s="11">
        <f t="shared" si="7"/>
        <v>7063</v>
      </c>
      <c r="E78" s="12">
        <v>0.59398712347666105</v>
      </c>
      <c r="F78" s="12">
        <v>0.40601287652333801</v>
      </c>
      <c r="G78" s="11">
        <f t="shared" si="8"/>
        <v>1.4629760724904433</v>
      </c>
      <c r="H78" s="11">
        <f t="shared" si="9"/>
        <v>0.68353817865092337</v>
      </c>
      <c r="I78" s="11">
        <f t="shared" si="10"/>
        <v>2.4629760724904446</v>
      </c>
      <c r="J78" s="11">
        <f t="shared" si="11"/>
        <v>0.27752530212758503</v>
      </c>
      <c r="K78" s="11">
        <f t="shared" si="12"/>
        <v>0.99999999999999911</v>
      </c>
    </row>
    <row r="79" spans="1:11" ht="16.5" thickTop="1" thickBot="1" x14ac:dyDescent="0.3">
      <c r="A79" s="10" t="s">
        <v>64</v>
      </c>
      <c r="B79" s="11" t="s">
        <v>244</v>
      </c>
      <c r="C79" s="11" t="s">
        <v>245</v>
      </c>
      <c r="D79" s="11">
        <f t="shared" si="7"/>
        <v>8852</v>
      </c>
      <c r="E79" s="12">
        <v>0.539749389070867</v>
      </c>
      <c r="F79" s="12">
        <v>0.460250610929132</v>
      </c>
      <c r="G79" s="11">
        <f t="shared" si="8"/>
        <v>1.1727293267058292</v>
      </c>
      <c r="H79" s="11">
        <f t="shared" si="9"/>
        <v>0.85271168480878612</v>
      </c>
      <c r="I79" s="11">
        <f t="shared" si="10"/>
        <v>2.1727293267058325</v>
      </c>
      <c r="J79" s="11">
        <f t="shared" si="11"/>
        <v>0.39246107387965284</v>
      </c>
      <c r="K79" s="11">
        <f t="shared" si="12"/>
        <v>0.999999999999999</v>
      </c>
    </row>
    <row r="80" spans="1:11" ht="16.5" thickTop="1" thickBot="1" x14ac:dyDescent="0.3">
      <c r="A80" s="10" t="s">
        <v>65</v>
      </c>
      <c r="B80" s="11" t="s">
        <v>246</v>
      </c>
      <c r="C80" s="11" t="s">
        <v>247</v>
      </c>
      <c r="D80" s="11">
        <f t="shared" si="7"/>
        <v>7739</v>
      </c>
      <c r="E80" s="12">
        <v>0.63934197036070395</v>
      </c>
      <c r="F80" s="12">
        <v>0.360658029639295</v>
      </c>
      <c r="G80" s="11">
        <f t="shared" si="8"/>
        <v>1.772709652409872</v>
      </c>
      <c r="H80" s="11">
        <f t="shared" si="9"/>
        <v>0.56410817114950074</v>
      </c>
      <c r="I80" s="11">
        <f t="shared" si="10"/>
        <v>2.7727096524098749</v>
      </c>
      <c r="J80" s="11">
        <f t="shared" si="11"/>
        <v>0.20345014151020513</v>
      </c>
      <c r="K80" s="11">
        <f t="shared" si="12"/>
        <v>0.99999999999999889</v>
      </c>
    </row>
    <row r="81" spans="1:11" ht="16.5" thickTop="1" thickBot="1" x14ac:dyDescent="0.3">
      <c r="A81" s="10" t="s">
        <v>66</v>
      </c>
      <c r="B81" s="11" t="s">
        <v>248</v>
      </c>
      <c r="C81" s="11" t="s">
        <v>249</v>
      </c>
      <c r="D81" s="11">
        <f t="shared" si="7"/>
        <v>9829</v>
      </c>
      <c r="E81" s="12">
        <v>0.474525527933707</v>
      </c>
      <c r="F81" s="12">
        <v>0.52547447206629205</v>
      </c>
      <c r="G81" s="11">
        <f t="shared" si="8"/>
        <v>0.90304201851663446</v>
      </c>
      <c r="H81" s="11">
        <f t="shared" si="9"/>
        <v>1.1073681838666072</v>
      </c>
      <c r="I81" s="11">
        <f t="shared" si="10"/>
        <v>1.9030420185166368</v>
      </c>
      <c r="J81" s="11">
        <f t="shared" si="11"/>
        <v>0.58189371180031368</v>
      </c>
      <c r="K81" s="11">
        <f t="shared" si="12"/>
        <v>0.99999999999999911</v>
      </c>
    </row>
    <row r="82" spans="1:11" ht="16.5" thickTop="1" thickBot="1" x14ac:dyDescent="0.3">
      <c r="A82" s="10" t="s">
        <v>67</v>
      </c>
      <c r="B82" s="11" t="s">
        <v>250</v>
      </c>
      <c r="C82" s="11" t="s">
        <v>251</v>
      </c>
      <c r="D82" s="11">
        <f t="shared" si="7"/>
        <v>11872</v>
      </c>
      <c r="E82" s="12">
        <v>0.49446431613013098</v>
      </c>
      <c r="F82" s="12">
        <v>0.50553568386986802</v>
      </c>
      <c r="G82" s="11">
        <f t="shared" si="8"/>
        <v>0.97809973045822107</v>
      </c>
      <c r="H82" s="11">
        <f t="shared" si="9"/>
        <v>1.0223906303823618</v>
      </c>
      <c r="I82" s="11">
        <f t="shared" si="10"/>
        <v>1.9780997304582217</v>
      </c>
      <c r="J82" s="11">
        <f t="shared" si="11"/>
        <v>0.51685494651249331</v>
      </c>
      <c r="K82" s="11">
        <f t="shared" si="12"/>
        <v>0.999999999999999</v>
      </c>
    </row>
    <row r="83" spans="1:11" ht="16.5" thickTop="1" thickBot="1" x14ac:dyDescent="0.3">
      <c r="A83" s="10" t="s">
        <v>68</v>
      </c>
      <c r="B83" s="11" t="s">
        <v>252</v>
      </c>
      <c r="C83" s="11" t="s">
        <v>253</v>
      </c>
      <c r="D83" s="11">
        <f t="shared" si="7"/>
        <v>11477</v>
      </c>
      <c r="E83" s="12">
        <v>0.60428231562252099</v>
      </c>
      <c r="F83" s="12">
        <v>0.39571768437747801</v>
      </c>
      <c r="G83" s="11">
        <f t="shared" si="8"/>
        <v>1.5270541082164328</v>
      </c>
      <c r="H83" s="11">
        <f t="shared" si="9"/>
        <v>0.65485564304461996</v>
      </c>
      <c r="I83" s="11">
        <f t="shared" si="10"/>
        <v>2.5270541082164364</v>
      </c>
      <c r="J83" s="11">
        <f t="shared" si="11"/>
        <v>0.25913795866714112</v>
      </c>
      <c r="K83" s="11">
        <f t="shared" si="12"/>
        <v>0.999999999999999</v>
      </c>
    </row>
    <row r="84" spans="1:11" ht="16.5" thickTop="1" thickBot="1" x14ac:dyDescent="0.3">
      <c r="A84" s="10" t="s">
        <v>69</v>
      </c>
      <c r="B84" s="11" t="s">
        <v>254</v>
      </c>
      <c r="C84" s="11" t="s">
        <v>255</v>
      </c>
      <c r="D84" s="11">
        <f t="shared" si="7"/>
        <v>9872</v>
      </c>
      <c r="E84" s="12">
        <v>0.57656343827742895</v>
      </c>
      <c r="F84" s="12">
        <v>0.42343656172256999</v>
      </c>
      <c r="G84" s="11">
        <f t="shared" si="8"/>
        <v>1.3616288492706645</v>
      </c>
      <c r="H84" s="11">
        <f t="shared" si="9"/>
        <v>0.73441452164856513</v>
      </c>
      <c r="I84" s="11">
        <f t="shared" si="10"/>
        <v>2.3616288492706681</v>
      </c>
      <c r="J84" s="11">
        <f t="shared" si="11"/>
        <v>0.31097795992599397</v>
      </c>
      <c r="K84" s="11">
        <f t="shared" si="12"/>
        <v>0.99999999999999889</v>
      </c>
    </row>
    <row r="85" spans="1:11" ht="16.5" thickTop="1" thickBot="1" x14ac:dyDescent="0.3">
      <c r="A85" s="10" t="s">
        <v>70</v>
      </c>
      <c r="B85" s="11" t="s">
        <v>256</v>
      </c>
      <c r="C85" s="11" t="s">
        <v>257</v>
      </c>
      <c r="D85" s="11">
        <f t="shared" si="7"/>
        <v>8704</v>
      </c>
      <c r="E85" s="12">
        <v>0.58943396226415001</v>
      </c>
      <c r="F85" s="12">
        <v>0.41056603773584899</v>
      </c>
      <c r="G85" s="11">
        <f t="shared" si="8"/>
        <v>1.4356617647058822</v>
      </c>
      <c r="H85" s="11">
        <f t="shared" si="9"/>
        <v>0.69654289372599332</v>
      </c>
      <c r="I85" s="11">
        <f t="shared" si="10"/>
        <v>2.4356617647058858</v>
      </c>
      <c r="J85" s="11">
        <f t="shared" si="11"/>
        <v>0.28597685599014322</v>
      </c>
      <c r="K85" s="11">
        <f t="shared" si="12"/>
        <v>0.999999999999999</v>
      </c>
    </row>
    <row r="86" spans="1:11" ht="16.5" thickTop="1" thickBot="1" x14ac:dyDescent="0.3">
      <c r="A86" s="10" t="s">
        <v>71</v>
      </c>
      <c r="B86" s="11" t="s">
        <v>258</v>
      </c>
      <c r="C86" s="11" t="s">
        <v>259</v>
      </c>
      <c r="D86" s="11">
        <f t="shared" si="7"/>
        <v>9269</v>
      </c>
      <c r="E86" s="12">
        <v>0.51274772643641897</v>
      </c>
      <c r="F86" s="12">
        <v>0.48725227356357997</v>
      </c>
      <c r="G86" s="11">
        <f t="shared" si="8"/>
        <v>1.052324954148236</v>
      </c>
      <c r="H86" s="11">
        <f t="shared" si="9"/>
        <v>0.95027680951404381</v>
      </c>
      <c r="I86" s="11">
        <f t="shared" si="10"/>
        <v>2.0523249541482365</v>
      </c>
      <c r="J86" s="11">
        <f t="shared" si="11"/>
        <v>0.46302453595046372</v>
      </c>
      <c r="K86" s="11">
        <f t="shared" si="12"/>
        <v>0.99999999999999889</v>
      </c>
    </row>
    <row r="87" spans="1:11" ht="16.5" thickTop="1" thickBot="1" x14ac:dyDescent="0.3">
      <c r="A87" s="10" t="s">
        <v>72</v>
      </c>
      <c r="B87" s="11" t="s">
        <v>260</v>
      </c>
      <c r="C87" s="11" t="s">
        <v>261</v>
      </c>
      <c r="D87" s="11">
        <f t="shared" si="7"/>
        <v>12792</v>
      </c>
      <c r="E87" s="12">
        <v>0.39210188661312501</v>
      </c>
      <c r="F87" s="12">
        <v>0.60789811338687405</v>
      </c>
      <c r="G87" s="11">
        <f t="shared" si="8"/>
        <v>0.64501250781738584</v>
      </c>
      <c r="H87" s="11">
        <f t="shared" si="9"/>
        <v>1.5503575324203136</v>
      </c>
      <c r="I87" s="11">
        <f t="shared" si="10"/>
        <v>1.6450125078173878</v>
      </c>
      <c r="J87" s="11">
        <f t="shared" si="11"/>
        <v>0.94245941903343755</v>
      </c>
      <c r="K87" s="11">
        <f t="shared" si="12"/>
        <v>0.99999999999999911</v>
      </c>
    </row>
    <row r="88" spans="1:11" ht="16.5" thickTop="1" thickBot="1" x14ac:dyDescent="0.3">
      <c r="A88" s="10" t="s">
        <v>73</v>
      </c>
      <c r="B88" s="11" t="s">
        <v>262</v>
      </c>
      <c r="C88" s="11" t="s">
        <v>263</v>
      </c>
      <c r="D88" s="11">
        <f t="shared" si="7"/>
        <v>11804</v>
      </c>
      <c r="E88" s="12">
        <v>0.61104520890997704</v>
      </c>
      <c r="F88" s="12">
        <v>0.38895479109002201</v>
      </c>
      <c r="G88" s="11">
        <f t="shared" si="8"/>
        <v>1.5709928837682141</v>
      </c>
      <c r="H88" s="11">
        <f t="shared" si="9"/>
        <v>0.63654012079378763</v>
      </c>
      <c r="I88" s="11">
        <f t="shared" si="10"/>
        <v>2.5709928837682163</v>
      </c>
      <c r="J88" s="11">
        <f t="shared" si="11"/>
        <v>0.24758532970376509</v>
      </c>
      <c r="K88" s="11">
        <f t="shared" si="12"/>
        <v>0.99999999999999911</v>
      </c>
    </row>
    <row r="89" spans="1:11" ht="16.5" thickTop="1" thickBot="1" x14ac:dyDescent="0.3">
      <c r="A89" s="10" t="s">
        <v>74</v>
      </c>
      <c r="B89" s="11" t="s">
        <v>264</v>
      </c>
      <c r="C89" s="11" t="s">
        <v>265</v>
      </c>
      <c r="D89" s="11">
        <f t="shared" si="7"/>
        <v>10696</v>
      </c>
      <c r="E89" s="12">
        <v>0.64480456945505205</v>
      </c>
      <c r="F89" s="12">
        <v>0.35519543054494701</v>
      </c>
      <c r="G89" s="11">
        <f t="shared" si="8"/>
        <v>1.8153515332834704</v>
      </c>
      <c r="H89" s="11">
        <f t="shared" si="9"/>
        <v>0.55085749600865219</v>
      </c>
      <c r="I89" s="11">
        <f t="shared" si="10"/>
        <v>2.8153515332834731</v>
      </c>
      <c r="J89" s="11">
        <f t="shared" si="11"/>
        <v>0.19566206546370465</v>
      </c>
      <c r="K89" s="11">
        <f t="shared" si="12"/>
        <v>0.99999999999999911</v>
      </c>
    </row>
    <row r="90" spans="1:11" ht="16.5" thickTop="1" thickBot="1" x14ac:dyDescent="0.3">
      <c r="A90" s="10" t="s">
        <v>75</v>
      </c>
      <c r="B90" s="11" t="s">
        <v>266</v>
      </c>
      <c r="C90" s="11" t="s">
        <v>267</v>
      </c>
      <c r="D90" s="11">
        <f t="shared" si="7"/>
        <v>6890</v>
      </c>
      <c r="E90" s="12">
        <v>0.65627338488401099</v>
      </c>
      <c r="F90" s="12">
        <v>0.34372661511598901</v>
      </c>
      <c r="G90" s="11">
        <f t="shared" si="8"/>
        <v>1.9092888243831641</v>
      </c>
      <c r="H90" s="11">
        <f t="shared" si="9"/>
        <v>0.52375522614975289</v>
      </c>
      <c r="I90" s="11">
        <f t="shared" si="10"/>
        <v>2.9092888243831641</v>
      </c>
      <c r="J90" s="11">
        <f t="shared" si="11"/>
        <v>0.18002861103376391</v>
      </c>
      <c r="K90" s="11">
        <f t="shared" si="12"/>
        <v>1</v>
      </c>
    </row>
    <row r="91" spans="1:11" ht="16.5" thickTop="1" thickBot="1" x14ac:dyDescent="0.3">
      <c r="A91" s="10" t="s">
        <v>76</v>
      </c>
      <c r="B91" s="11" t="s">
        <v>268</v>
      </c>
      <c r="C91" s="11" t="s">
        <v>269</v>
      </c>
      <c r="D91" s="11">
        <f t="shared" si="7"/>
        <v>9798</v>
      </c>
      <c r="E91" s="12">
        <v>0.51703061073593903</v>
      </c>
      <c r="F91" s="12">
        <v>0.48296938926406002</v>
      </c>
      <c r="G91" s="11">
        <f t="shared" si="8"/>
        <v>1.0705245968565014</v>
      </c>
      <c r="H91" s="11">
        <f t="shared" si="9"/>
        <v>0.93412146057774714</v>
      </c>
      <c r="I91" s="11">
        <f t="shared" si="10"/>
        <v>2.0705245968565023</v>
      </c>
      <c r="J91" s="11">
        <f t="shared" si="11"/>
        <v>0.45115207131368673</v>
      </c>
      <c r="K91" s="11">
        <f t="shared" si="12"/>
        <v>0.99999999999999911</v>
      </c>
    </row>
    <row r="92" spans="1:11" ht="16.5" thickTop="1" thickBot="1" x14ac:dyDescent="0.3">
      <c r="A92" s="10" t="s">
        <v>78</v>
      </c>
      <c r="B92" s="11" t="s">
        <v>270</v>
      </c>
      <c r="C92" s="11" t="s">
        <v>271</v>
      </c>
      <c r="D92" s="11">
        <f t="shared" si="7"/>
        <v>8053</v>
      </c>
      <c r="E92" s="12">
        <v>0.59893420987100898</v>
      </c>
      <c r="F92" s="12">
        <v>0.40106579012899002</v>
      </c>
      <c r="G92" s="11">
        <f t="shared" si="8"/>
        <v>1.4933565131007078</v>
      </c>
      <c r="H92" s="11">
        <f t="shared" si="9"/>
        <v>0.66963246299683998</v>
      </c>
      <c r="I92" s="11">
        <f t="shared" si="10"/>
        <v>2.4933565131007098</v>
      </c>
      <c r="J92" s="11">
        <f t="shared" si="11"/>
        <v>0.26856667286784935</v>
      </c>
      <c r="K92" s="11">
        <f t="shared" si="12"/>
        <v>0.999999999999999</v>
      </c>
    </row>
    <row r="93" spans="1:11" ht="16.5" thickTop="1" thickBot="1" x14ac:dyDescent="0.3">
      <c r="A93" s="10" t="s">
        <v>79</v>
      </c>
      <c r="B93" s="11" t="s">
        <v>272</v>
      </c>
      <c r="C93" s="11" t="s">
        <v>273</v>
      </c>
      <c r="D93" s="11">
        <f t="shared" si="7"/>
        <v>5461</v>
      </c>
      <c r="E93" s="12">
        <v>0.72670403363026703</v>
      </c>
      <c r="F93" s="12">
        <v>0.27329596636973202</v>
      </c>
      <c r="G93" s="11">
        <f t="shared" si="8"/>
        <v>2.6590368064457057</v>
      </c>
      <c r="H93" s="11">
        <f t="shared" si="9"/>
        <v>0.37607602782177446</v>
      </c>
      <c r="I93" s="11">
        <f t="shared" si="10"/>
        <v>3.6590368064457066</v>
      </c>
      <c r="J93" s="11">
        <f t="shared" si="11"/>
        <v>0.10278006145204233</v>
      </c>
      <c r="K93" s="11">
        <f t="shared" si="12"/>
        <v>0.99999999999999911</v>
      </c>
    </row>
    <row r="94" spans="1:11" ht="16.5" thickTop="1" thickBot="1" x14ac:dyDescent="0.3">
      <c r="A94" s="10" t="s">
        <v>80</v>
      </c>
      <c r="B94" s="11" t="s">
        <v>274</v>
      </c>
      <c r="C94" s="11" t="s">
        <v>275</v>
      </c>
      <c r="D94" s="11">
        <f t="shared" si="7"/>
        <v>12091</v>
      </c>
      <c r="E94" s="12">
        <v>0.407768416927899</v>
      </c>
      <c r="F94" s="12">
        <v>0.5922315830721</v>
      </c>
      <c r="G94" s="11">
        <f t="shared" si="8"/>
        <v>0.68852865767926552</v>
      </c>
      <c r="H94" s="11">
        <f t="shared" si="9"/>
        <v>1.452372372372374</v>
      </c>
      <c r="I94" s="11">
        <f t="shared" si="10"/>
        <v>1.6885286576792682</v>
      </c>
      <c r="J94" s="11">
        <f t="shared" si="11"/>
        <v>0.86014078930027171</v>
      </c>
      <c r="K94" s="11">
        <f t="shared" si="12"/>
        <v>0.999999999999999</v>
      </c>
    </row>
    <row r="95" spans="1:11" ht="16.5" thickTop="1" thickBot="1" x14ac:dyDescent="0.3">
      <c r="A95" s="10" t="s">
        <v>81</v>
      </c>
      <c r="B95" s="11" t="s">
        <v>276</v>
      </c>
      <c r="C95" s="11" t="s">
        <v>277</v>
      </c>
      <c r="D95" s="11">
        <f t="shared" si="7"/>
        <v>9635</v>
      </c>
      <c r="E95" s="12">
        <v>0.57562544045102104</v>
      </c>
      <c r="F95" s="12">
        <v>0.42437455954897801</v>
      </c>
      <c r="G95" s="11">
        <f t="shared" si="8"/>
        <v>1.3564089257913856</v>
      </c>
      <c r="H95" s="11">
        <f t="shared" si="9"/>
        <v>0.73724079883694316</v>
      </c>
      <c r="I95" s="11">
        <f t="shared" si="10"/>
        <v>2.3564089257913889</v>
      </c>
      <c r="J95" s="11">
        <f t="shared" si="11"/>
        <v>0.31286623928796414</v>
      </c>
      <c r="K95" s="11">
        <f t="shared" si="12"/>
        <v>0.99999999999999911</v>
      </c>
    </row>
    <row r="96" spans="1:11" ht="16.5" thickTop="1" thickBot="1" x14ac:dyDescent="0.3">
      <c r="A96" s="10" t="s">
        <v>82</v>
      </c>
      <c r="B96" s="11" t="s">
        <v>278</v>
      </c>
      <c r="C96" s="11" t="s">
        <v>279</v>
      </c>
      <c r="D96" s="11">
        <f t="shared" si="7"/>
        <v>10356</v>
      </c>
      <c r="E96" s="12">
        <v>0.54848273456574803</v>
      </c>
      <c r="F96" s="12">
        <v>0.45151726543425103</v>
      </c>
      <c r="G96" s="11">
        <f t="shared" si="8"/>
        <v>1.2147547315565856</v>
      </c>
      <c r="H96" s="11">
        <f t="shared" si="9"/>
        <v>0.82321144674085722</v>
      </c>
      <c r="I96" s="11">
        <f t="shared" si="10"/>
        <v>2.2147547315565861</v>
      </c>
      <c r="J96" s="11">
        <f t="shared" si="11"/>
        <v>0.37169418130660598</v>
      </c>
      <c r="K96" s="11">
        <f t="shared" si="12"/>
        <v>0.99999999999999911</v>
      </c>
    </row>
    <row r="97" spans="1:11" ht="16.5" thickTop="1" thickBot="1" x14ac:dyDescent="0.3">
      <c r="A97" s="10" t="s">
        <v>84</v>
      </c>
      <c r="B97" s="11" t="s">
        <v>280</v>
      </c>
      <c r="C97" s="11" t="s">
        <v>281</v>
      </c>
      <c r="D97" s="11">
        <f t="shared" si="7"/>
        <v>7853</v>
      </c>
      <c r="E97" s="12">
        <v>0.61891590236327398</v>
      </c>
      <c r="F97" s="12">
        <v>0.38108409763672502</v>
      </c>
      <c r="G97" s="11">
        <f t="shared" si="8"/>
        <v>1.6240927034254424</v>
      </c>
      <c r="H97" s="11">
        <f t="shared" si="9"/>
        <v>0.61572839893366793</v>
      </c>
      <c r="I97" s="11">
        <f t="shared" si="10"/>
        <v>2.6240927034254451</v>
      </c>
      <c r="J97" s="11">
        <f t="shared" si="11"/>
        <v>0.23464430129694228</v>
      </c>
      <c r="K97" s="11">
        <f t="shared" si="12"/>
        <v>0.999999999999999</v>
      </c>
    </row>
    <row r="98" spans="1:11" ht="16.5" thickTop="1" thickBot="1" x14ac:dyDescent="0.3">
      <c r="A98" s="10" t="s">
        <v>85</v>
      </c>
      <c r="B98" s="11" t="s">
        <v>282</v>
      </c>
      <c r="C98" s="11" t="s">
        <v>283</v>
      </c>
      <c r="D98" s="11">
        <f t="shared" si="7"/>
        <v>13163</v>
      </c>
      <c r="E98" s="12">
        <v>0.46987515102698302</v>
      </c>
      <c r="F98" s="12">
        <v>0.53012484897301604</v>
      </c>
      <c r="G98" s="11">
        <f t="shared" si="8"/>
        <v>0.8863480969383879</v>
      </c>
      <c r="H98" s="11">
        <f t="shared" si="9"/>
        <v>1.1282249078597755</v>
      </c>
      <c r="I98" s="11">
        <f t="shared" si="10"/>
        <v>1.8863480969383897</v>
      </c>
      <c r="J98" s="11">
        <f t="shared" si="11"/>
        <v>0.59810005888675843</v>
      </c>
      <c r="K98" s="11">
        <f t="shared" si="12"/>
        <v>0.99999999999999911</v>
      </c>
    </row>
    <row r="99" spans="1:11" ht="16.5" thickTop="1" thickBot="1" x14ac:dyDescent="0.3">
      <c r="A99" s="10" t="s">
        <v>86</v>
      </c>
      <c r="B99" s="11" t="s">
        <v>284</v>
      </c>
      <c r="C99" s="11" t="s">
        <v>285</v>
      </c>
      <c r="D99" s="11">
        <f t="shared" si="7"/>
        <v>6928</v>
      </c>
      <c r="E99" s="12">
        <v>0.61551695432598896</v>
      </c>
      <c r="F99" s="12">
        <v>0.38448304567400998</v>
      </c>
      <c r="G99" s="11">
        <f t="shared" si="8"/>
        <v>1.6008949191685913</v>
      </c>
      <c r="H99" s="11">
        <f t="shared" si="9"/>
        <v>0.62465061761788743</v>
      </c>
      <c r="I99" s="11">
        <f t="shared" si="10"/>
        <v>2.6008949191685926</v>
      </c>
      <c r="J99" s="11">
        <f t="shared" si="11"/>
        <v>0.24016757194387711</v>
      </c>
      <c r="K99" s="11">
        <f t="shared" si="12"/>
        <v>0.99999999999999889</v>
      </c>
    </row>
    <row r="100" spans="1:11" ht="16.5" thickTop="1" thickBot="1" x14ac:dyDescent="0.3">
      <c r="A100" s="10" t="s">
        <v>87</v>
      </c>
      <c r="B100" s="11" t="s">
        <v>286</v>
      </c>
      <c r="C100" s="11" t="s">
        <v>287</v>
      </c>
      <c r="D100" s="11">
        <f t="shared" si="7"/>
        <v>9506</v>
      </c>
      <c r="E100" s="12">
        <v>0.50175585722522098</v>
      </c>
      <c r="F100" s="12">
        <v>0.49824414277477802</v>
      </c>
      <c r="G100" s="11">
        <f t="shared" si="8"/>
        <v>1.007048180096781</v>
      </c>
      <c r="H100" s="11">
        <f t="shared" si="9"/>
        <v>0.99300114906507875</v>
      </c>
      <c r="I100" s="11">
        <f t="shared" si="10"/>
        <v>2.007048180096783</v>
      </c>
      <c r="J100" s="11">
        <f t="shared" si="11"/>
        <v>0.49475700629029978</v>
      </c>
      <c r="K100" s="11">
        <f t="shared" si="12"/>
        <v>0.999999999999999</v>
      </c>
    </row>
    <row r="101" spans="1:11" ht="16.5" thickTop="1" thickBot="1" x14ac:dyDescent="0.3">
      <c r="A101" s="10" t="s">
        <v>88</v>
      </c>
      <c r="B101" s="11" t="s">
        <v>288</v>
      </c>
      <c r="C101" s="11" t="s">
        <v>289</v>
      </c>
      <c r="D101" s="11">
        <f t="shared" si="7"/>
        <v>12104</v>
      </c>
      <c r="E101" s="12">
        <v>0.453149001536098</v>
      </c>
      <c r="F101" s="12">
        <v>0.54685099846390095</v>
      </c>
      <c r="G101" s="11">
        <f t="shared" si="8"/>
        <v>0.8286516853932584</v>
      </c>
      <c r="H101" s="11">
        <f t="shared" si="9"/>
        <v>1.2067796610169483</v>
      </c>
      <c r="I101" s="11">
        <f t="shared" si="10"/>
        <v>1.8286516853932597</v>
      </c>
      <c r="J101" s="11">
        <f t="shared" si="11"/>
        <v>0.65992866255304661</v>
      </c>
      <c r="K101" s="11">
        <f t="shared" si="12"/>
        <v>0.99999999999999889</v>
      </c>
    </row>
    <row r="102" spans="1:11" ht="16.5" thickTop="1" thickBot="1" x14ac:dyDescent="0.3">
      <c r="A102" s="10" t="s">
        <v>89</v>
      </c>
      <c r="B102" s="11" t="s">
        <v>290</v>
      </c>
      <c r="C102" s="11" t="s">
        <v>201</v>
      </c>
      <c r="D102" s="11">
        <f t="shared" si="7"/>
        <v>7698</v>
      </c>
      <c r="E102" s="12">
        <v>0.62944064696254898</v>
      </c>
      <c r="F102" s="12">
        <v>0.37055935303745002</v>
      </c>
      <c r="G102" s="11">
        <f t="shared" si="8"/>
        <v>1.6986230189659652</v>
      </c>
      <c r="H102" s="11">
        <f t="shared" si="9"/>
        <v>0.58871214438666186</v>
      </c>
      <c r="I102" s="11">
        <f t="shared" si="10"/>
        <v>2.698623018965967</v>
      </c>
      <c r="J102" s="11">
        <f t="shared" si="11"/>
        <v>0.21815279134921156</v>
      </c>
      <c r="K102" s="11">
        <f t="shared" si="12"/>
        <v>0.999999999999999</v>
      </c>
    </row>
    <row r="103" spans="1:11" ht="16.5" thickTop="1" thickBot="1" x14ac:dyDescent="0.3">
      <c r="A103" s="10" t="s">
        <v>91</v>
      </c>
      <c r="B103" s="11" t="s">
        <v>291</v>
      </c>
      <c r="C103" s="11" t="s">
        <v>292</v>
      </c>
      <c r="D103" s="11">
        <f t="shared" si="7"/>
        <v>7480</v>
      </c>
      <c r="E103" s="12">
        <v>0.67555844719149805</v>
      </c>
      <c r="F103" s="12">
        <v>0.32444155280850101</v>
      </c>
      <c r="G103" s="11">
        <f t="shared" si="8"/>
        <v>2.0822192513368982</v>
      </c>
      <c r="H103" s="11">
        <f t="shared" si="9"/>
        <v>0.48025682182985535</v>
      </c>
      <c r="I103" s="11">
        <f t="shared" si="10"/>
        <v>3.0822192513369004</v>
      </c>
      <c r="J103" s="11">
        <f t="shared" si="11"/>
        <v>0.15581526902135395</v>
      </c>
      <c r="K103" s="11">
        <f t="shared" si="12"/>
        <v>0.99999999999999911</v>
      </c>
    </row>
    <row r="104" spans="1:11" ht="16.5" thickTop="1" thickBot="1" x14ac:dyDescent="0.3">
      <c r="A104" s="10" t="s">
        <v>92</v>
      </c>
      <c r="B104" s="11" t="s">
        <v>293</v>
      </c>
      <c r="C104" s="11" t="s">
        <v>294</v>
      </c>
      <c r="D104" s="11">
        <f t="shared" si="7"/>
        <v>8231</v>
      </c>
      <c r="E104" s="12">
        <v>0.56385120813904199</v>
      </c>
      <c r="F104" s="12">
        <v>0.43614879186095801</v>
      </c>
      <c r="G104" s="11">
        <f t="shared" si="8"/>
        <v>1.292795529097315</v>
      </c>
      <c r="H104" s="11">
        <f t="shared" si="9"/>
        <v>0.77351752654825667</v>
      </c>
      <c r="I104" s="11">
        <f t="shared" si="10"/>
        <v>2.2927955290973148</v>
      </c>
      <c r="J104" s="11">
        <f t="shared" si="11"/>
        <v>0.33736873468729872</v>
      </c>
      <c r="K104" s="11">
        <f t="shared" si="12"/>
        <v>1</v>
      </c>
    </row>
    <row r="105" spans="1:11" ht="16.5" thickTop="1" thickBot="1" x14ac:dyDescent="0.3">
      <c r="A105" s="10" t="s">
        <v>93</v>
      </c>
      <c r="B105" s="11" t="s">
        <v>295</v>
      </c>
      <c r="C105" s="11" t="s">
        <v>296</v>
      </c>
      <c r="D105" s="11">
        <f>C:C-B:B</f>
        <v>11960</v>
      </c>
      <c r="E105" s="12">
        <v>0.31050386256197299</v>
      </c>
      <c r="F105" s="12">
        <v>0.68949613743802596</v>
      </c>
      <c r="G105" s="11">
        <f t="shared" si="8"/>
        <v>0.45033444816053514</v>
      </c>
      <c r="H105" s="11">
        <f t="shared" si="9"/>
        <v>2.2205718529521046</v>
      </c>
      <c r="I105" s="11">
        <f t="shared" si="10"/>
        <v>1.4503344481605396</v>
      </c>
      <c r="J105" s="11">
        <f t="shared" si="11"/>
        <v>1.5310757155140717</v>
      </c>
      <c r="K105" s="11">
        <f t="shared" si="12"/>
        <v>0.99999999999999889</v>
      </c>
    </row>
    <row r="106" spans="1:11" ht="15.75" thickTop="1" x14ac:dyDescent="0.25"/>
  </sheetData>
  <conditionalFormatting sqref="E2:E32">
    <cfRule type="cellIs" dxfId="24" priority="26" operator="greaterThan">
      <formula>$E$33</formula>
    </cfRule>
    <cfRule type="cellIs" dxfId="23" priority="27" operator="lessThan">
      <formula>$E$33</formula>
    </cfRule>
  </conditionalFormatting>
  <conditionalFormatting sqref="E36:E105">
    <cfRule type="cellIs" dxfId="22" priority="24" operator="greaterThan">
      <formula>$E$33</formula>
    </cfRule>
    <cfRule type="cellIs" dxfId="21" priority="25" operator="lessThan">
      <formula>$E$33</formula>
    </cfRule>
  </conditionalFormatting>
  <conditionalFormatting sqref="F2:F32">
    <cfRule type="cellIs" dxfId="20" priority="22" operator="lessThan">
      <formula>$F$33</formula>
    </cfRule>
    <cfRule type="cellIs" dxfId="19" priority="23" operator="greaterThan">
      <formula>$F$33</formula>
    </cfRule>
  </conditionalFormatting>
  <conditionalFormatting sqref="F36:F105">
    <cfRule type="cellIs" dxfId="18" priority="1" operator="lessThan">
      <formula>$F$33</formula>
    </cfRule>
    <cfRule type="cellIs" dxfId="17" priority="20" operator="lessThan">
      <formula>0.507706003</formula>
    </cfRule>
    <cfRule type="cellIs" dxfId="16" priority="21" operator="greaterThan">
      <formula>$F$33</formula>
    </cfRule>
  </conditionalFormatting>
  <conditionalFormatting sqref="G2:G32">
    <cfRule type="cellIs" dxfId="15" priority="18" operator="greaterThan">
      <formula>$G$33</formula>
    </cfRule>
    <cfRule type="cellIs" dxfId="14" priority="19" operator="lessThan">
      <formula>$G$33</formula>
    </cfRule>
  </conditionalFormatting>
  <conditionalFormatting sqref="G36:G105">
    <cfRule type="cellIs" dxfId="13" priority="16" operator="greaterThan">
      <formula>$G$33</formula>
    </cfRule>
    <cfRule type="cellIs" dxfId="12" priority="17" operator="lessThan">
      <formula>$G$33</formula>
    </cfRule>
  </conditionalFormatting>
  <conditionalFormatting sqref="H2:H32">
    <cfRule type="cellIs" dxfId="11" priority="14" operator="lessThan">
      <formula>$H$33</formula>
    </cfRule>
    <cfRule type="cellIs" dxfId="10" priority="15" operator="greaterThan">
      <formula>$H$33</formula>
    </cfRule>
  </conditionalFormatting>
  <conditionalFormatting sqref="H36:H105">
    <cfRule type="cellIs" dxfId="9" priority="12" operator="greaterThan">
      <formula>$H$33</formula>
    </cfRule>
    <cfRule type="cellIs" dxfId="8" priority="13" operator="lessThan">
      <formula>$H$33</formula>
    </cfRule>
  </conditionalFormatting>
  <conditionalFormatting sqref="J36:J105">
    <cfRule type="cellIs" dxfId="7" priority="8" operator="greaterThan">
      <formula>$J$33</formula>
    </cfRule>
    <cfRule type="cellIs" dxfId="6" priority="9" operator="lessThan">
      <formula>$J$33</formula>
    </cfRule>
  </conditionalFormatting>
  <conditionalFormatting sqref="J2:J32">
    <cfRule type="cellIs" dxfId="5" priority="6" operator="greaterThan">
      <formula>$J$33</formula>
    </cfRule>
    <cfRule type="cellIs" dxfId="4" priority="7" operator="lessThan">
      <formula>$J$33</formula>
    </cfRule>
  </conditionalFormatting>
  <conditionalFormatting sqref="I2:I32">
    <cfRule type="cellIs" dxfId="3" priority="4" operator="greaterThan">
      <formula>$I$33</formula>
    </cfRule>
    <cfRule type="cellIs" dxfId="2" priority="5" operator="lessThan">
      <formula>$I$33</formula>
    </cfRule>
  </conditionalFormatting>
  <conditionalFormatting sqref="I36:I105">
    <cfRule type="cellIs" dxfId="1" priority="2" operator="greaterThan">
      <formula>$I$33</formula>
    </cfRule>
    <cfRule type="cellIs" dxfId="0" priority="3" operator="lessThan">
      <formula>$I$33</formula>
    </cfRule>
  </conditionalFormatting>
  <pageMargins left="0.7" right="0.7" top="0.75" bottom="0.75" header="0.3" footer="0.3"/>
  <pageSetup paperSize="9" scale="36" fitToHeight="0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2:I32"/>
  <sheetViews>
    <sheetView workbookViewId="0">
      <selection activeCell="I33" sqref="I33"/>
    </sheetView>
  </sheetViews>
  <sheetFormatPr baseColWidth="10" defaultRowHeight="15" x14ac:dyDescent="0.25"/>
  <cols>
    <col min="2" max="9" width="25.7109375" customWidth="1"/>
  </cols>
  <sheetData>
    <row r="2" spans="2:9" x14ac:dyDescent="0.25">
      <c r="B2" s="2" t="s">
        <v>117</v>
      </c>
      <c r="C2" s="2"/>
      <c r="D2" s="2"/>
      <c r="E2" s="2"/>
      <c r="F2" s="2"/>
    </row>
    <row r="3" spans="2:9" ht="15.75" thickBot="1" x14ac:dyDescent="0.3"/>
    <row r="4" spans="2:9" ht="16.5" thickTop="1" thickBot="1" x14ac:dyDescent="0.3">
      <c r="B4" s="1" t="s">
        <v>107</v>
      </c>
      <c r="C4" t="s">
        <v>111</v>
      </c>
      <c r="D4" t="s">
        <v>112</v>
      </c>
      <c r="E4" t="s">
        <v>5</v>
      </c>
      <c r="F4" t="s">
        <v>113</v>
      </c>
      <c r="G4" t="s">
        <v>114</v>
      </c>
      <c r="H4" t="s">
        <v>115</v>
      </c>
      <c r="I4" t="s">
        <v>116</v>
      </c>
    </row>
    <row r="5" spans="2:9" ht="16.5" thickTop="1" thickBot="1" x14ac:dyDescent="0.3">
      <c r="B5" s="1" t="s">
        <v>108</v>
      </c>
      <c r="C5">
        <v>0.7</v>
      </c>
      <c r="D5">
        <v>0.87370000000000003</v>
      </c>
      <c r="E5">
        <v>0.71050000000000002</v>
      </c>
      <c r="F5">
        <v>0.87890000000000001</v>
      </c>
      <c r="G5">
        <v>0.87990000000000002</v>
      </c>
      <c r="H5">
        <v>0.76839999999999997</v>
      </c>
      <c r="I5" s="2">
        <v>0.88419999999999999</v>
      </c>
    </row>
    <row r="6" spans="2:9" ht="16.5" thickTop="1" thickBot="1" x14ac:dyDescent="0.3">
      <c r="B6" s="1" t="s">
        <v>109</v>
      </c>
      <c r="C6">
        <v>1</v>
      </c>
      <c r="D6">
        <v>0.91930000000000001</v>
      </c>
      <c r="E6">
        <v>0.99329999999999996</v>
      </c>
      <c r="F6">
        <v>0.91930000000000001</v>
      </c>
      <c r="G6">
        <v>0.92130000000000001</v>
      </c>
      <c r="H6">
        <v>0.94269999999999998</v>
      </c>
      <c r="I6" s="2">
        <v>0.9284</v>
      </c>
    </row>
    <row r="7" spans="2:9" ht="16.5" thickTop="1" thickBot="1" x14ac:dyDescent="0.3">
      <c r="B7" s="1" t="s">
        <v>110</v>
      </c>
      <c r="C7">
        <v>0.7</v>
      </c>
      <c r="D7">
        <v>0.90749999999999997</v>
      </c>
      <c r="E7">
        <v>0.71230000000000004</v>
      </c>
      <c r="F7">
        <v>0.91520000000000001</v>
      </c>
      <c r="G7" s="2">
        <v>0.91590000000000005</v>
      </c>
      <c r="H7">
        <v>0.77880000000000005</v>
      </c>
      <c r="I7" s="2">
        <v>0.91590000000000005</v>
      </c>
    </row>
    <row r="8" spans="2:9" ht="15.75" thickTop="1" x14ac:dyDescent="0.25"/>
    <row r="10" spans="2:9" x14ac:dyDescent="0.25">
      <c r="B10" s="2" t="s">
        <v>126</v>
      </c>
      <c r="C10" s="2"/>
      <c r="D10" s="2"/>
      <c r="E10" s="2"/>
      <c r="F10" s="2"/>
    </row>
    <row r="11" spans="2:9" ht="15.75" thickBot="1" x14ac:dyDescent="0.3"/>
    <row r="12" spans="2:9" ht="16.5" thickTop="1" thickBot="1" x14ac:dyDescent="0.3">
      <c r="B12" s="1" t="s">
        <v>107</v>
      </c>
      <c r="C12" t="s">
        <v>111</v>
      </c>
      <c r="D12" t="s">
        <v>112</v>
      </c>
      <c r="E12" t="s">
        <v>5</v>
      </c>
      <c r="F12" t="s">
        <v>113</v>
      </c>
      <c r="G12" t="s">
        <v>114</v>
      </c>
      <c r="H12" t="s">
        <v>115</v>
      </c>
      <c r="I12" t="s">
        <v>116</v>
      </c>
    </row>
    <row r="13" spans="2:9" ht="16.5" thickTop="1" thickBot="1" x14ac:dyDescent="0.3">
      <c r="B13" s="1" t="s">
        <v>108</v>
      </c>
      <c r="C13">
        <v>0.7</v>
      </c>
      <c r="D13">
        <v>0.87370000000000003</v>
      </c>
      <c r="E13">
        <v>0.71050000000000002</v>
      </c>
      <c r="F13">
        <v>0.87890000000000001</v>
      </c>
      <c r="G13" s="2">
        <v>0.88009999999999999</v>
      </c>
      <c r="H13">
        <v>0.78420000000000001</v>
      </c>
      <c r="I13" s="3">
        <v>0.87890000000000001</v>
      </c>
    </row>
    <row r="14" spans="2:9" ht="16.5" thickTop="1" thickBot="1" x14ac:dyDescent="0.3">
      <c r="B14" s="1" t="s">
        <v>109</v>
      </c>
      <c r="C14">
        <v>1</v>
      </c>
      <c r="D14">
        <v>0.91930000000000001</v>
      </c>
      <c r="E14">
        <v>0.99329999999999996</v>
      </c>
      <c r="F14">
        <v>0.91930000000000001</v>
      </c>
      <c r="G14" s="3">
        <v>0.92620000000000002</v>
      </c>
      <c r="H14">
        <v>0.93500000000000005</v>
      </c>
      <c r="I14" s="2">
        <v>0.9284</v>
      </c>
    </row>
    <row r="15" spans="2:9" ht="16.5" thickTop="1" thickBot="1" x14ac:dyDescent="0.3">
      <c r="B15" s="1" t="s">
        <v>110</v>
      </c>
      <c r="C15">
        <v>0.7</v>
      </c>
      <c r="D15">
        <v>0.90749999999999997</v>
      </c>
      <c r="E15">
        <v>0.71230000000000004</v>
      </c>
      <c r="F15">
        <v>0.91510000000000002</v>
      </c>
      <c r="G15" s="2">
        <v>0.91590000000000005</v>
      </c>
      <c r="H15">
        <v>0.79579999999999995</v>
      </c>
      <c r="I15" s="3">
        <v>0.9103</v>
      </c>
    </row>
    <row r="16" spans="2:9" ht="15.75" thickTop="1" x14ac:dyDescent="0.25"/>
    <row r="18" spans="2:7" x14ac:dyDescent="0.25">
      <c r="B18" s="2" t="s">
        <v>118</v>
      </c>
      <c r="C18" s="2"/>
      <c r="D18" s="2"/>
      <c r="E18" s="2"/>
      <c r="F18" s="2"/>
      <c r="G18" s="2"/>
    </row>
    <row r="19" spans="2:7" ht="15.75" thickBot="1" x14ac:dyDescent="0.3"/>
    <row r="20" spans="2:7" ht="16.5" thickTop="1" thickBot="1" x14ac:dyDescent="0.3">
      <c r="B20" s="1" t="s">
        <v>107</v>
      </c>
      <c r="C20" t="s">
        <v>120</v>
      </c>
      <c r="D20" t="s">
        <v>121</v>
      </c>
      <c r="E20" t="s">
        <v>5</v>
      </c>
      <c r="F20" s="4" t="s">
        <v>122</v>
      </c>
      <c r="G20" s="4"/>
    </row>
    <row r="21" spans="2:7" ht="16.5" thickTop="1" thickBot="1" x14ac:dyDescent="0.3">
      <c r="B21" s="1" t="s">
        <v>119</v>
      </c>
      <c r="C21">
        <v>0.66</v>
      </c>
      <c r="D21" t="s">
        <v>129</v>
      </c>
      <c r="E21">
        <v>12000</v>
      </c>
      <c r="F21" s="4"/>
      <c r="G21" s="4"/>
    </row>
    <row r="22" spans="2:7" ht="16.5" thickTop="1" thickBot="1" x14ac:dyDescent="0.3">
      <c r="B22" s="1" t="s">
        <v>108</v>
      </c>
      <c r="C22" t="s">
        <v>125</v>
      </c>
      <c r="D22" t="s">
        <v>140</v>
      </c>
      <c r="E22" t="s">
        <v>132</v>
      </c>
      <c r="F22" s="5">
        <v>90.09</v>
      </c>
      <c r="G22" s="5"/>
    </row>
    <row r="23" spans="2:7" ht="16.5" thickTop="1" thickBot="1" x14ac:dyDescent="0.3">
      <c r="B23" s="1" t="s">
        <v>109</v>
      </c>
      <c r="C23" t="s">
        <v>124</v>
      </c>
      <c r="D23" t="s">
        <v>139</v>
      </c>
      <c r="E23" t="s">
        <v>128</v>
      </c>
      <c r="F23" s="5">
        <v>90</v>
      </c>
      <c r="G23" s="5"/>
    </row>
    <row r="24" spans="2:7" ht="16.5" thickTop="1" thickBot="1" x14ac:dyDescent="0.3">
      <c r="B24" s="1" t="s">
        <v>110</v>
      </c>
      <c r="C24" t="s">
        <v>123</v>
      </c>
      <c r="D24" t="s">
        <v>127</v>
      </c>
      <c r="E24" t="s">
        <v>131</v>
      </c>
      <c r="F24" s="5">
        <v>90.3</v>
      </c>
      <c r="G24" s="5"/>
    </row>
    <row r="25" spans="2:7" ht="15.75" thickTop="1" x14ac:dyDescent="0.25"/>
    <row r="26" spans="2:7" x14ac:dyDescent="0.25">
      <c r="B26" t="s">
        <v>130</v>
      </c>
    </row>
    <row r="29" spans="2:7" x14ac:dyDescent="0.25">
      <c r="B29" s="7" t="s">
        <v>133</v>
      </c>
      <c r="C29" s="7" t="s">
        <v>134</v>
      </c>
      <c r="D29" s="7" t="s">
        <v>135</v>
      </c>
      <c r="E29" s="7" t="s">
        <v>136</v>
      </c>
    </row>
    <row r="30" spans="2:7" x14ac:dyDescent="0.25">
      <c r="B30" s="7" t="s">
        <v>108</v>
      </c>
      <c r="C30" s="7">
        <v>90.09</v>
      </c>
      <c r="D30" s="6">
        <v>0.87890000000000001</v>
      </c>
      <c r="E30" s="6">
        <v>0.88419999999999999</v>
      </c>
    </row>
    <row r="31" spans="2:7" x14ac:dyDescent="0.25">
      <c r="B31" s="7" t="s">
        <v>109</v>
      </c>
      <c r="C31" s="6">
        <v>90</v>
      </c>
      <c r="D31" s="7">
        <v>0.9284</v>
      </c>
      <c r="E31" s="7">
        <v>0.9284</v>
      </c>
    </row>
    <row r="32" spans="2:7" x14ac:dyDescent="0.25">
      <c r="B32" s="7" t="s">
        <v>110</v>
      </c>
      <c r="C32" s="6">
        <v>90.3</v>
      </c>
      <c r="D32" s="6">
        <v>0.9103</v>
      </c>
      <c r="E32" s="7">
        <v>0.91590000000000005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Protocole clinique</vt:lpstr>
      <vt:lpstr>Protocole clinique 2</vt:lpstr>
      <vt:lpstr>Area measures - Seg 1</vt:lpstr>
      <vt:lpstr>Area measures - Seg 2</vt:lpstr>
      <vt:lpstr>Comparison with SVMs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Amed Mvoulana</dc:creator>
  <cp:lastModifiedBy>mvoulana</cp:lastModifiedBy>
  <cp:lastPrinted>2020-02-24T18:37:43Z</cp:lastPrinted>
  <dcterms:created xsi:type="dcterms:W3CDTF">2019-10-15T09:46:31Z</dcterms:created>
  <dcterms:modified xsi:type="dcterms:W3CDTF">2020-04-20T15:31:26Z</dcterms:modified>
</cp:coreProperties>
</file>